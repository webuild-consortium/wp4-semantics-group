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ald/IdeaProjects/wp4-semantics-group/KYC/"/>
    </mc:Choice>
  </mc:AlternateContent>
  <xr:revisionPtr revIDLastSave="0" documentId="13_ncr:1_{F179DCF6-2D9F-D24E-98D3-548F6D32CAC1}" xr6:coauthVersionLast="47" xr6:coauthVersionMax="47" xr10:uidLastSave="{00000000-0000-0000-0000-000000000000}"/>
  <bookViews>
    <workbookView xWindow="0" yWindow="600" windowWidth="38000" windowHeight="19520" tabRatio="591" xr2:uid="{00000000-000D-0000-FFFF-FFFF00000000}"/>
  </bookViews>
  <sheets>
    <sheet name="Feld-Mapping" sheetId="1" r:id="rId1"/>
    <sheet name="Staatsangehörigkeit" sheetId="2" r:id="rId2"/>
    <sheet name="Anrede" sheetId="3" r:id="rId3"/>
    <sheet name="BaFin-GattungId" sheetId="4" r:id="rId4"/>
    <sheet name="Börseninformationen" sheetId="5" r:id="rId5"/>
    <sheet name="Funktionsträger" sheetId="6" r:id="rId6"/>
    <sheet name="HandoverFlag" sheetId="7" r:id="rId7"/>
    <sheet name="Insolvenzstatus" sheetId="8" r:id="rId8"/>
    <sheet name="IstAmOrganisiertenMarkt" sheetId="9" r:id="rId9"/>
    <sheet name="IstStiftung" sheetId="10" r:id="rId10"/>
    <sheet name="IstTreuhand" sheetId="11" r:id="rId11"/>
    <sheet name="LEI Status" sheetId="12" r:id="rId12"/>
    <sheet name="Liquidationsstatus" sheetId="13" r:id="rId13"/>
    <sheet name="NACE2" sheetId="14" r:id="rId14"/>
    <sheet name="NrfdPflichtig" sheetId="15" r:id="rId15"/>
    <sheet name="Rechercheabbruchgründe" sheetId="16" r:id="rId16"/>
    <sheet name="Rechtsformen" sheetId="17" r:id="rId17"/>
    <sheet name="Registerarten" sheetId="18" r:id="rId18"/>
    <sheet name="Registergerichte" sheetId="19" r:id="rId19"/>
    <sheet name="RegulatorenName" sheetId="20" r:id="rId20"/>
    <sheet name="Status" sheetId="21" r:id="rId21"/>
    <sheet name="Vertretungsberechtigt" sheetId="22" r:id="rId22"/>
    <sheet name="Währungen" sheetId="23" r:id="rId23"/>
    <sheet name="WZ08" sheetId="24" r:id="rId24"/>
  </sheets>
  <definedNames>
    <definedName name="_xlnm._FilterDatabase" localSheetId="0" hidden="1">'Feld-Mapping'!$A$1:$W$605</definedName>
    <definedName name="_xlnm._FilterDatabase" localSheetId="1" hidden="1">Staatsangehörigkeit!$B$1:$C$251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3" l="1"/>
  <c r="C3" i="13"/>
  <c r="C8" i="8"/>
  <c r="C7" i="8"/>
  <c r="C6" i="8"/>
  <c r="C5" i="8"/>
  <c r="C4" i="8"/>
  <c r="C3" i="8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V605" i="1"/>
  <c r="U605" i="1"/>
  <c r="I604" i="1"/>
  <c r="I603" i="1"/>
  <c r="V603" i="1" s="1"/>
  <c r="I602" i="1"/>
  <c r="V602" i="1" s="1"/>
  <c r="I601" i="1"/>
  <c r="V601" i="1" s="1"/>
  <c r="V600" i="1"/>
  <c r="U600" i="1"/>
  <c r="I599" i="1"/>
  <c r="I598" i="1"/>
  <c r="V598" i="1" s="1"/>
  <c r="V597" i="1"/>
  <c r="U597" i="1"/>
  <c r="I596" i="1"/>
  <c r="V596" i="1" s="1"/>
  <c r="I595" i="1"/>
  <c r="V595" i="1" s="1"/>
  <c r="I594" i="1"/>
  <c r="V594" i="1" s="1"/>
  <c r="I593" i="1"/>
  <c r="U593" i="1" s="1"/>
  <c r="V592" i="1"/>
  <c r="U592" i="1"/>
  <c r="I591" i="1"/>
  <c r="V591" i="1" s="1"/>
  <c r="I590" i="1"/>
  <c r="U590" i="1" s="1"/>
  <c r="I589" i="1"/>
  <c r="V589" i="1" s="1"/>
  <c r="I588" i="1"/>
  <c r="I587" i="1"/>
  <c r="I586" i="1"/>
  <c r="V586" i="1" s="1"/>
  <c r="I585" i="1"/>
  <c r="V585" i="1" s="1"/>
  <c r="I584" i="1"/>
  <c r="V584" i="1" s="1"/>
  <c r="I583" i="1"/>
  <c r="V583" i="1" s="1"/>
  <c r="I582" i="1"/>
  <c r="U582" i="1" s="1"/>
  <c r="V581" i="1"/>
  <c r="U581" i="1"/>
  <c r="V580" i="1"/>
  <c r="U580" i="1"/>
  <c r="V579" i="1"/>
  <c r="U579" i="1"/>
  <c r="I578" i="1"/>
  <c r="I577" i="1"/>
  <c r="U577" i="1" s="1"/>
  <c r="I576" i="1"/>
  <c r="V576" i="1" s="1"/>
  <c r="I575" i="1"/>
  <c r="V575" i="1" s="1"/>
  <c r="I574" i="1"/>
  <c r="V574" i="1" s="1"/>
  <c r="I573" i="1"/>
  <c r="U573" i="1" s="1"/>
  <c r="I572" i="1"/>
  <c r="V572" i="1" s="1"/>
  <c r="I571" i="1"/>
  <c r="U571" i="1" s="1"/>
  <c r="I570" i="1"/>
  <c r="I569" i="1"/>
  <c r="I568" i="1"/>
  <c r="I567" i="1"/>
  <c r="V567" i="1" s="1"/>
  <c r="I566" i="1"/>
  <c r="V566" i="1" s="1"/>
  <c r="I565" i="1"/>
  <c r="U565" i="1" s="1"/>
  <c r="I564" i="1"/>
  <c r="I563" i="1"/>
  <c r="U563" i="1" s="1"/>
  <c r="I562" i="1"/>
  <c r="I561" i="1"/>
  <c r="V561" i="1" s="1"/>
  <c r="I560" i="1"/>
  <c r="V560" i="1" s="1"/>
  <c r="I559" i="1"/>
  <c r="I558" i="1"/>
  <c r="V558" i="1" s="1"/>
  <c r="I557" i="1"/>
  <c r="U557" i="1" s="1"/>
  <c r="I556" i="1"/>
  <c r="I555" i="1"/>
  <c r="U555" i="1" s="1"/>
  <c r="I554" i="1"/>
  <c r="I553" i="1"/>
  <c r="V553" i="1" s="1"/>
  <c r="I552" i="1"/>
  <c r="V552" i="1" s="1"/>
  <c r="I551" i="1"/>
  <c r="V551" i="1" s="1"/>
  <c r="I550" i="1"/>
  <c r="V550" i="1" s="1"/>
  <c r="I549" i="1"/>
  <c r="U549" i="1" s="1"/>
  <c r="I548" i="1"/>
  <c r="V548" i="1" s="1"/>
  <c r="I547" i="1"/>
  <c r="U547" i="1" s="1"/>
  <c r="I546" i="1"/>
  <c r="I545" i="1"/>
  <c r="V545" i="1" s="1"/>
  <c r="I544" i="1"/>
  <c r="V544" i="1" s="1"/>
  <c r="V543" i="1"/>
  <c r="U543" i="1"/>
  <c r="I542" i="1"/>
  <c r="V542" i="1" s="1"/>
  <c r="I541" i="1"/>
  <c r="V541" i="1" s="1"/>
  <c r="I540" i="1"/>
  <c r="V540" i="1" s="1"/>
  <c r="I539" i="1"/>
  <c r="V539" i="1" s="1"/>
  <c r="I538" i="1"/>
  <c r="U538" i="1" s="1"/>
  <c r="I537" i="1"/>
  <c r="V537" i="1" s="1"/>
  <c r="V536" i="1"/>
  <c r="U536" i="1"/>
  <c r="V535" i="1"/>
  <c r="U535" i="1"/>
  <c r="I534" i="1"/>
  <c r="V534" i="1" s="1"/>
  <c r="I533" i="1"/>
  <c r="U533" i="1" s="1"/>
  <c r="I532" i="1"/>
  <c r="U532" i="1" s="1"/>
  <c r="I531" i="1"/>
  <c r="V531" i="1" s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I522" i="1"/>
  <c r="U522" i="1" s="1"/>
  <c r="I521" i="1"/>
  <c r="I520" i="1"/>
  <c r="V520" i="1" s="1"/>
  <c r="I519" i="1"/>
  <c r="V519" i="1" s="1"/>
  <c r="I518" i="1"/>
  <c r="V518" i="1" s="1"/>
  <c r="I517" i="1"/>
  <c r="V517" i="1" s="1"/>
  <c r="I516" i="1"/>
  <c r="V516" i="1" s="1"/>
  <c r="I515" i="1"/>
  <c r="I514" i="1"/>
  <c r="U514" i="1" s="1"/>
  <c r="I513" i="1"/>
  <c r="I512" i="1"/>
  <c r="V512" i="1" s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I495" i="1"/>
  <c r="I494" i="1"/>
  <c r="V494" i="1" s="1"/>
  <c r="I493" i="1"/>
  <c r="U493" i="1" s="1"/>
  <c r="I492" i="1"/>
  <c r="U492" i="1" s="1"/>
  <c r="I491" i="1"/>
  <c r="U491" i="1" s="1"/>
  <c r="I490" i="1"/>
  <c r="U490" i="1" s="1"/>
  <c r="I488" i="1"/>
  <c r="I487" i="1"/>
  <c r="V487" i="1" s="1"/>
  <c r="I486" i="1"/>
  <c r="V486" i="1" s="1"/>
  <c r="I485" i="1"/>
  <c r="V485" i="1" s="1"/>
  <c r="I484" i="1"/>
  <c r="U484" i="1" s="1"/>
  <c r="I483" i="1"/>
  <c r="U483" i="1" s="1"/>
  <c r="I482" i="1"/>
  <c r="V482" i="1" s="1"/>
  <c r="V481" i="1"/>
  <c r="U481" i="1"/>
  <c r="V480" i="1"/>
  <c r="U480" i="1"/>
  <c r="V479" i="1"/>
  <c r="U479" i="1"/>
  <c r="I478" i="1"/>
  <c r="I477" i="1"/>
  <c r="V477" i="1" s="1"/>
  <c r="I476" i="1"/>
  <c r="V476" i="1" s="1"/>
  <c r="I475" i="1"/>
  <c r="V475" i="1" s="1"/>
  <c r="I474" i="1"/>
  <c r="U474" i="1" s="1"/>
  <c r="I473" i="1"/>
  <c r="V473" i="1" s="1"/>
  <c r="I472" i="1"/>
  <c r="U472" i="1" s="1"/>
  <c r="V471" i="1"/>
  <c r="U471" i="1"/>
  <c r="I470" i="1"/>
  <c r="V470" i="1" s="1"/>
  <c r="I469" i="1"/>
  <c r="U469" i="1" s="1"/>
  <c r="I468" i="1"/>
  <c r="I467" i="1"/>
  <c r="V467" i="1" s="1"/>
  <c r="I466" i="1"/>
  <c r="I465" i="1"/>
  <c r="V465" i="1" s="1"/>
  <c r="I464" i="1"/>
  <c r="V464" i="1" s="1"/>
  <c r="I463" i="1"/>
  <c r="U463" i="1" s="1"/>
  <c r="I462" i="1"/>
  <c r="V462" i="1" s="1"/>
  <c r="I461" i="1"/>
  <c r="U461" i="1" s="1"/>
  <c r="I460" i="1"/>
  <c r="V459" i="1"/>
  <c r="U459" i="1"/>
  <c r="V458" i="1"/>
  <c r="U458" i="1"/>
  <c r="V457" i="1"/>
  <c r="U457" i="1"/>
  <c r="I456" i="1"/>
  <c r="V456" i="1" s="1"/>
  <c r="I455" i="1"/>
  <c r="V455" i="1" s="1"/>
  <c r="I454" i="1"/>
  <c r="V454" i="1" s="1"/>
  <c r="I453" i="1"/>
  <c r="V453" i="1" s="1"/>
  <c r="I452" i="1"/>
  <c r="U452" i="1" s="1"/>
  <c r="I451" i="1"/>
  <c r="I450" i="1"/>
  <c r="V450" i="1" s="1"/>
  <c r="I449" i="1"/>
  <c r="I448" i="1"/>
  <c r="V448" i="1" s="1"/>
  <c r="I447" i="1"/>
  <c r="V447" i="1" s="1"/>
  <c r="I446" i="1"/>
  <c r="V446" i="1" s="1"/>
  <c r="I445" i="1"/>
  <c r="V445" i="1" s="1"/>
  <c r="I444" i="1"/>
  <c r="U444" i="1" s="1"/>
  <c r="I443" i="1"/>
  <c r="I442" i="1"/>
  <c r="V442" i="1" s="1"/>
  <c r="I441" i="1"/>
  <c r="I440" i="1"/>
  <c r="V440" i="1" s="1"/>
  <c r="I439" i="1"/>
  <c r="V439" i="1" s="1"/>
  <c r="I438" i="1"/>
  <c r="I437" i="1"/>
  <c r="V437" i="1" s="1"/>
  <c r="I436" i="1"/>
  <c r="U436" i="1" s="1"/>
  <c r="V435" i="1"/>
  <c r="U435" i="1"/>
  <c r="I434" i="1"/>
  <c r="V434" i="1" s="1"/>
  <c r="I433" i="1"/>
  <c r="U433" i="1" s="1"/>
  <c r="I432" i="1"/>
  <c r="I431" i="1"/>
  <c r="I430" i="1"/>
  <c r="V430" i="1" s="1"/>
  <c r="I429" i="1"/>
  <c r="V428" i="1"/>
  <c r="U428" i="1"/>
  <c r="I427" i="1"/>
  <c r="V427" i="1" s="1"/>
  <c r="I426" i="1"/>
  <c r="V426" i="1" s="1"/>
  <c r="I425" i="1"/>
  <c r="V425" i="1" s="1"/>
  <c r="I424" i="1"/>
  <c r="V424" i="1" s="1"/>
  <c r="I423" i="1"/>
  <c r="I422" i="1"/>
  <c r="U422" i="1" s="1"/>
  <c r="I421" i="1"/>
  <c r="I420" i="1"/>
  <c r="V420" i="1" s="1"/>
  <c r="I419" i="1"/>
  <c r="I418" i="1"/>
  <c r="I417" i="1"/>
  <c r="V417" i="1" s="1"/>
  <c r="I416" i="1"/>
  <c r="V416" i="1" s="1"/>
  <c r="I415" i="1"/>
  <c r="V415" i="1" s="1"/>
  <c r="I414" i="1"/>
  <c r="U414" i="1" s="1"/>
  <c r="I413" i="1"/>
  <c r="I412" i="1"/>
  <c r="V412" i="1" s="1"/>
  <c r="I411" i="1"/>
  <c r="V411" i="1" s="1"/>
  <c r="I410" i="1"/>
  <c r="I409" i="1"/>
  <c r="V409" i="1" s="1"/>
  <c r="I408" i="1"/>
  <c r="V408" i="1" s="1"/>
  <c r="I407" i="1"/>
  <c r="V407" i="1" s="1"/>
  <c r="V406" i="1"/>
  <c r="U406" i="1"/>
  <c r="I405" i="1"/>
  <c r="V405" i="1" s="1"/>
  <c r="I404" i="1"/>
  <c r="V404" i="1" s="1"/>
  <c r="I403" i="1"/>
  <c r="U403" i="1" s="1"/>
  <c r="I402" i="1"/>
  <c r="I401" i="1"/>
  <c r="V401" i="1" s="1"/>
  <c r="I400" i="1"/>
  <c r="V400" i="1" s="1"/>
  <c r="I399" i="1"/>
  <c r="I398" i="1"/>
  <c r="U398" i="1" s="1"/>
  <c r="I397" i="1"/>
  <c r="V397" i="1" s="1"/>
  <c r="I396" i="1"/>
  <c r="I395" i="1"/>
  <c r="U395" i="1" s="1"/>
  <c r="I394" i="1"/>
  <c r="I393" i="1"/>
  <c r="V393" i="1" s="1"/>
  <c r="I392" i="1"/>
  <c r="V392" i="1" s="1"/>
  <c r="I391" i="1"/>
  <c r="I390" i="1"/>
  <c r="V390" i="1" s="1"/>
  <c r="I389" i="1"/>
  <c r="V389" i="1" s="1"/>
  <c r="I388" i="1"/>
  <c r="V388" i="1" s="1"/>
  <c r="I387" i="1"/>
  <c r="U387" i="1" s="1"/>
  <c r="I386" i="1"/>
  <c r="I385" i="1"/>
  <c r="V385" i="1" s="1"/>
  <c r="I384" i="1"/>
  <c r="V384" i="1" s="1"/>
  <c r="I383" i="1"/>
  <c r="I382" i="1"/>
  <c r="V382" i="1" s="1"/>
  <c r="I381" i="1"/>
  <c r="V381" i="1" s="1"/>
  <c r="I380" i="1"/>
  <c r="I379" i="1"/>
  <c r="U379" i="1" s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I369" i="1"/>
  <c r="V368" i="1"/>
  <c r="U368" i="1"/>
  <c r="V367" i="1"/>
  <c r="U367" i="1"/>
  <c r="V366" i="1"/>
  <c r="U366" i="1"/>
  <c r="I365" i="1"/>
  <c r="V365" i="1" s="1"/>
  <c r="V364" i="1"/>
  <c r="U364" i="1"/>
  <c r="V363" i="1"/>
  <c r="U363" i="1"/>
  <c r="V362" i="1"/>
  <c r="U362" i="1"/>
  <c r="V361" i="1"/>
  <c r="U361" i="1"/>
  <c r="V360" i="1"/>
  <c r="U360" i="1"/>
  <c r="V359" i="1"/>
  <c r="U359" i="1"/>
  <c r="I358" i="1"/>
  <c r="I357" i="1"/>
  <c r="U357" i="1" s="1"/>
  <c r="I356" i="1"/>
  <c r="V355" i="1"/>
  <c r="U355" i="1"/>
  <c r="V354" i="1"/>
  <c r="U354" i="1"/>
  <c r="V353" i="1"/>
  <c r="U353" i="1"/>
  <c r="V352" i="1"/>
  <c r="U352" i="1"/>
  <c r="V351" i="1"/>
  <c r="U351" i="1"/>
  <c r="V350" i="1"/>
  <c r="U350" i="1"/>
  <c r="V349" i="1"/>
  <c r="U349" i="1"/>
  <c r="V348" i="1"/>
  <c r="U348" i="1"/>
  <c r="V347" i="1"/>
  <c r="U347" i="1"/>
  <c r="I346" i="1"/>
  <c r="U346" i="1" s="1"/>
  <c r="I345" i="1"/>
  <c r="V344" i="1"/>
  <c r="U344" i="1"/>
  <c r="V343" i="1"/>
  <c r="U343" i="1"/>
  <c r="V342" i="1"/>
  <c r="U342" i="1"/>
  <c r="I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I334" i="1"/>
  <c r="I333" i="1"/>
  <c r="V332" i="1"/>
  <c r="U332" i="1"/>
  <c r="V331" i="1"/>
  <c r="U331" i="1"/>
  <c r="V330" i="1"/>
  <c r="U330" i="1"/>
  <c r="V329" i="1"/>
  <c r="U329" i="1"/>
  <c r="V328" i="1"/>
  <c r="U328" i="1"/>
  <c r="I327" i="1"/>
  <c r="I326" i="1"/>
  <c r="U326" i="1" s="1"/>
  <c r="I325" i="1"/>
  <c r="V325" i="1" s="1"/>
  <c r="I324" i="1"/>
  <c r="V324" i="1" s="1"/>
  <c r="I323" i="1"/>
  <c r="V323" i="1" s="1"/>
  <c r="I322" i="1"/>
  <c r="V322" i="1" s="1"/>
  <c r="I321" i="1"/>
  <c r="V321" i="1" s="1"/>
  <c r="V320" i="1"/>
  <c r="U320" i="1"/>
  <c r="V319" i="1"/>
  <c r="U319" i="1"/>
  <c r="V318" i="1"/>
  <c r="U318" i="1"/>
  <c r="I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I310" i="1"/>
  <c r="U310" i="1" s="1"/>
  <c r="I309" i="1"/>
  <c r="U309" i="1" s="1"/>
  <c r="I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I298" i="1"/>
  <c r="U298" i="1" s="1"/>
  <c r="I297" i="1"/>
  <c r="V296" i="1"/>
  <c r="U296" i="1"/>
  <c r="V295" i="1"/>
  <c r="U295" i="1"/>
  <c r="V294" i="1"/>
  <c r="U294" i="1"/>
  <c r="I293" i="1"/>
  <c r="V293" i="1" s="1"/>
  <c r="V292" i="1"/>
  <c r="U292" i="1"/>
  <c r="V291" i="1"/>
  <c r="U291" i="1"/>
  <c r="V290" i="1"/>
  <c r="U290" i="1"/>
  <c r="V289" i="1"/>
  <c r="U289" i="1"/>
  <c r="V288" i="1"/>
  <c r="U288" i="1"/>
  <c r="V287" i="1"/>
  <c r="U287" i="1"/>
  <c r="I286" i="1"/>
  <c r="I285" i="1"/>
  <c r="U285" i="1" s="1"/>
  <c r="V284" i="1"/>
  <c r="U284" i="1"/>
  <c r="V283" i="1"/>
  <c r="U283" i="1"/>
  <c r="V282" i="1"/>
  <c r="U282" i="1"/>
  <c r="V281" i="1"/>
  <c r="U281" i="1"/>
  <c r="V280" i="1"/>
  <c r="U280" i="1"/>
  <c r="I279" i="1"/>
  <c r="I278" i="1"/>
  <c r="V278" i="1" s="1"/>
  <c r="I277" i="1"/>
  <c r="V277" i="1" s="1"/>
  <c r="I276" i="1"/>
  <c r="V276" i="1" s="1"/>
  <c r="I275" i="1"/>
  <c r="V275" i="1" s="1"/>
  <c r="I274" i="1"/>
  <c r="V274" i="1" s="1"/>
  <c r="I273" i="1"/>
  <c r="V272" i="1"/>
  <c r="U272" i="1"/>
  <c r="V271" i="1"/>
  <c r="U271" i="1"/>
  <c r="V270" i="1"/>
  <c r="U270" i="1"/>
  <c r="I269" i="1"/>
  <c r="V269" i="1" s="1"/>
  <c r="V268" i="1"/>
  <c r="U268" i="1"/>
  <c r="V267" i="1"/>
  <c r="U267" i="1"/>
  <c r="V266" i="1"/>
  <c r="U266" i="1"/>
  <c r="V265" i="1"/>
  <c r="U265" i="1"/>
  <c r="V264" i="1"/>
  <c r="U264" i="1"/>
  <c r="V263" i="1"/>
  <c r="U263" i="1"/>
  <c r="I262" i="1"/>
  <c r="I261" i="1"/>
  <c r="U261" i="1" s="1"/>
  <c r="I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I250" i="1"/>
  <c r="U250" i="1" s="1"/>
  <c r="I249" i="1"/>
  <c r="V248" i="1"/>
  <c r="U248" i="1"/>
  <c r="V247" i="1"/>
  <c r="U247" i="1"/>
  <c r="V246" i="1"/>
  <c r="U246" i="1"/>
  <c r="I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I238" i="1"/>
  <c r="I237" i="1"/>
  <c r="V236" i="1"/>
  <c r="U236" i="1"/>
  <c r="V235" i="1"/>
  <c r="U235" i="1"/>
  <c r="V234" i="1"/>
  <c r="U234" i="1"/>
  <c r="V233" i="1"/>
  <c r="U233" i="1"/>
  <c r="V232" i="1"/>
  <c r="U232" i="1"/>
  <c r="I231" i="1"/>
  <c r="I230" i="1"/>
  <c r="U230" i="1" s="1"/>
  <c r="I229" i="1"/>
  <c r="V229" i="1" s="1"/>
  <c r="I228" i="1"/>
  <c r="V228" i="1" s="1"/>
  <c r="I227" i="1"/>
  <c r="V227" i="1" s="1"/>
  <c r="I226" i="1"/>
  <c r="U226" i="1" s="1"/>
  <c r="I225" i="1"/>
  <c r="U225" i="1" s="1"/>
  <c r="V224" i="1"/>
  <c r="U224" i="1"/>
  <c r="V223" i="1"/>
  <c r="U223" i="1"/>
  <c r="V222" i="1"/>
  <c r="U222" i="1"/>
  <c r="I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I214" i="1"/>
  <c r="U214" i="1" s="1"/>
  <c r="I213" i="1"/>
  <c r="U213" i="1" s="1"/>
  <c r="I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I202" i="1"/>
  <c r="U202" i="1" s="1"/>
  <c r="I201" i="1"/>
  <c r="V200" i="1"/>
  <c r="U200" i="1"/>
  <c r="V199" i="1"/>
  <c r="U199" i="1"/>
  <c r="V198" i="1"/>
  <c r="U198" i="1"/>
  <c r="I197" i="1"/>
  <c r="V197" i="1" s="1"/>
  <c r="V196" i="1"/>
  <c r="U196" i="1"/>
  <c r="V195" i="1"/>
  <c r="U195" i="1"/>
  <c r="V194" i="1"/>
  <c r="U194" i="1"/>
  <c r="V193" i="1"/>
  <c r="U193" i="1"/>
  <c r="V192" i="1"/>
  <c r="U192" i="1"/>
  <c r="V191" i="1"/>
  <c r="U191" i="1"/>
  <c r="I190" i="1"/>
  <c r="I189" i="1"/>
  <c r="V189" i="1" s="1"/>
  <c r="V188" i="1"/>
  <c r="U188" i="1"/>
  <c r="V187" i="1"/>
  <c r="U187" i="1"/>
  <c r="V186" i="1"/>
  <c r="U186" i="1"/>
  <c r="V185" i="1"/>
  <c r="U185" i="1"/>
  <c r="V184" i="1"/>
  <c r="U184" i="1"/>
  <c r="I183" i="1"/>
  <c r="I182" i="1"/>
  <c r="V182" i="1" s="1"/>
  <c r="I181" i="1"/>
  <c r="V181" i="1" s="1"/>
  <c r="I180" i="1"/>
  <c r="V180" i="1" s="1"/>
  <c r="I179" i="1"/>
  <c r="V179" i="1" s="1"/>
  <c r="I178" i="1"/>
  <c r="U178" i="1" s="1"/>
  <c r="I177" i="1"/>
  <c r="U177" i="1" s="1"/>
  <c r="V176" i="1"/>
  <c r="U176" i="1"/>
  <c r="V175" i="1"/>
  <c r="U175" i="1"/>
  <c r="V174" i="1"/>
  <c r="U174" i="1"/>
  <c r="I173" i="1"/>
  <c r="V173" i="1" s="1"/>
  <c r="V172" i="1"/>
  <c r="U172" i="1"/>
  <c r="V171" i="1"/>
  <c r="U171" i="1"/>
  <c r="V170" i="1"/>
  <c r="U170" i="1"/>
  <c r="V169" i="1"/>
  <c r="U169" i="1"/>
  <c r="V168" i="1"/>
  <c r="U168" i="1"/>
  <c r="V167" i="1"/>
  <c r="U167" i="1"/>
  <c r="I166" i="1"/>
  <c r="V166" i="1" s="1"/>
  <c r="I165" i="1"/>
  <c r="I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I154" i="1"/>
  <c r="U154" i="1" s="1"/>
  <c r="I153" i="1"/>
  <c r="V152" i="1"/>
  <c r="U152" i="1"/>
  <c r="V151" i="1"/>
  <c r="U151" i="1"/>
  <c r="V150" i="1"/>
  <c r="U150" i="1"/>
  <c r="I149" i="1"/>
  <c r="V149" i="1" s="1"/>
  <c r="V148" i="1"/>
  <c r="U148" i="1"/>
  <c r="V147" i="1"/>
  <c r="U147" i="1"/>
  <c r="V146" i="1"/>
  <c r="U146" i="1"/>
  <c r="V145" i="1"/>
  <c r="U145" i="1"/>
  <c r="V144" i="1"/>
  <c r="U144" i="1"/>
  <c r="V143" i="1"/>
  <c r="U143" i="1"/>
  <c r="I142" i="1"/>
  <c r="I141" i="1"/>
  <c r="V141" i="1" s="1"/>
  <c r="V140" i="1"/>
  <c r="U140" i="1"/>
  <c r="V139" i="1"/>
  <c r="U139" i="1"/>
  <c r="V138" i="1"/>
  <c r="U138" i="1"/>
  <c r="V137" i="1"/>
  <c r="U137" i="1"/>
  <c r="V136" i="1"/>
  <c r="U136" i="1"/>
  <c r="I135" i="1"/>
  <c r="I134" i="1"/>
  <c r="U134" i="1" s="1"/>
  <c r="I133" i="1"/>
  <c r="V133" i="1" s="1"/>
  <c r="I132" i="1"/>
  <c r="V132" i="1" s="1"/>
  <c r="I131" i="1"/>
  <c r="V131" i="1" s="1"/>
  <c r="I130" i="1"/>
  <c r="V130" i="1" s="1"/>
  <c r="I129" i="1"/>
  <c r="V129" i="1" s="1"/>
  <c r="V128" i="1"/>
  <c r="U128" i="1"/>
  <c r="V127" i="1"/>
  <c r="U127" i="1"/>
  <c r="V126" i="1"/>
  <c r="U126" i="1"/>
  <c r="I125" i="1"/>
  <c r="V125" i="1" s="1"/>
  <c r="V124" i="1"/>
  <c r="U124" i="1"/>
  <c r="V123" i="1"/>
  <c r="U123" i="1"/>
  <c r="V122" i="1"/>
  <c r="U122" i="1"/>
  <c r="V121" i="1"/>
  <c r="U121" i="1"/>
  <c r="V120" i="1"/>
  <c r="U120" i="1"/>
  <c r="V119" i="1"/>
  <c r="U119" i="1"/>
  <c r="I118" i="1"/>
  <c r="V118" i="1" s="1"/>
  <c r="I117" i="1"/>
  <c r="U117" i="1" s="1"/>
  <c r="I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I106" i="1"/>
  <c r="U106" i="1" s="1"/>
  <c r="I105" i="1"/>
  <c r="V104" i="1"/>
  <c r="U104" i="1"/>
  <c r="V103" i="1"/>
  <c r="U103" i="1"/>
  <c r="V102" i="1"/>
  <c r="U102" i="1"/>
  <c r="I101" i="1"/>
  <c r="V101" i="1" s="1"/>
  <c r="V100" i="1"/>
  <c r="U100" i="1"/>
  <c r="V99" i="1"/>
  <c r="U99" i="1"/>
  <c r="V98" i="1"/>
  <c r="U98" i="1"/>
  <c r="V97" i="1"/>
  <c r="U97" i="1"/>
  <c r="V96" i="1"/>
  <c r="U96" i="1"/>
  <c r="V95" i="1"/>
  <c r="U95" i="1"/>
  <c r="I94" i="1"/>
  <c r="I93" i="1"/>
  <c r="V93" i="1" s="1"/>
  <c r="V92" i="1"/>
  <c r="U92" i="1"/>
  <c r="V91" i="1"/>
  <c r="U91" i="1"/>
  <c r="V90" i="1"/>
  <c r="U90" i="1"/>
  <c r="V89" i="1"/>
  <c r="U89" i="1"/>
  <c r="V88" i="1"/>
  <c r="U88" i="1"/>
  <c r="I87" i="1"/>
  <c r="I86" i="1"/>
  <c r="I85" i="1"/>
  <c r="V85" i="1" s="1"/>
  <c r="I84" i="1"/>
  <c r="I83" i="1"/>
  <c r="I82" i="1"/>
  <c r="V82" i="1" s="1"/>
  <c r="I81" i="1"/>
  <c r="U81" i="1" s="1"/>
  <c r="I80" i="1"/>
  <c r="V80" i="1" s="1"/>
  <c r="I79" i="1"/>
  <c r="U79" i="1" s="1"/>
  <c r="I78" i="1"/>
  <c r="V78" i="1" s="1"/>
  <c r="I77" i="1"/>
  <c r="V77" i="1" s="1"/>
  <c r="I76" i="1"/>
  <c r="V76" i="1" s="1"/>
  <c r="I75" i="1"/>
  <c r="V75" i="1" s="1"/>
  <c r="I74" i="1"/>
  <c r="V74" i="1" s="1"/>
  <c r="I73" i="1"/>
  <c r="V73" i="1" s="1"/>
  <c r="I72" i="1"/>
  <c r="V72" i="1" s="1"/>
  <c r="I71" i="1"/>
  <c r="U71" i="1" s="1"/>
  <c r="I70" i="1"/>
  <c r="V70" i="1" s="1"/>
  <c r="I69" i="1"/>
  <c r="V69" i="1" s="1"/>
  <c r="I68" i="1"/>
  <c r="V68" i="1" s="1"/>
  <c r="I67" i="1"/>
  <c r="V67" i="1" s="1"/>
  <c r="I66" i="1"/>
  <c r="V66" i="1" s="1"/>
  <c r="I65" i="1"/>
  <c r="V65" i="1" s="1"/>
  <c r="I64" i="1"/>
  <c r="V64" i="1" s="1"/>
  <c r="I63" i="1"/>
  <c r="I62" i="1"/>
  <c r="V62" i="1" s="1"/>
  <c r="I61" i="1"/>
  <c r="I60" i="1"/>
  <c r="V60" i="1" s="1"/>
  <c r="I59" i="1"/>
  <c r="U59" i="1" s="1"/>
  <c r="I58" i="1"/>
  <c r="V58" i="1" s="1"/>
  <c r="I57" i="1"/>
  <c r="V57" i="1" s="1"/>
  <c r="I56" i="1"/>
  <c r="I55" i="1"/>
  <c r="I54" i="1"/>
  <c r="V54" i="1" s="1"/>
  <c r="I53" i="1"/>
  <c r="V53" i="1" s="1"/>
  <c r="I52" i="1"/>
  <c r="V52" i="1" s="1"/>
  <c r="I51" i="1"/>
  <c r="U51" i="1" s="1"/>
  <c r="I50" i="1"/>
  <c r="V50" i="1" s="1"/>
  <c r="I49" i="1"/>
  <c r="V49" i="1" s="1"/>
  <c r="I48" i="1"/>
  <c r="V47" i="1"/>
  <c r="U47" i="1"/>
  <c r="I46" i="1"/>
  <c r="V46" i="1" s="1"/>
  <c r="I45" i="1"/>
  <c r="V45" i="1" s="1"/>
  <c r="I44" i="1"/>
  <c r="I43" i="1"/>
  <c r="V43" i="1" s="1"/>
  <c r="I42" i="1"/>
  <c r="V42" i="1" s="1"/>
  <c r="I41" i="1"/>
  <c r="V41" i="1" s="1"/>
  <c r="I40" i="1"/>
  <c r="V40" i="1" s="1"/>
  <c r="I39" i="1"/>
  <c r="V39" i="1" s="1"/>
  <c r="I38" i="1"/>
  <c r="V38" i="1" s="1"/>
  <c r="I37" i="1"/>
  <c r="V37" i="1" s="1"/>
  <c r="V36" i="1"/>
  <c r="U36" i="1"/>
  <c r="I35" i="1"/>
  <c r="V35" i="1" s="1"/>
  <c r="I34" i="1"/>
  <c r="V34" i="1" s="1"/>
  <c r="I33" i="1"/>
  <c r="I32" i="1"/>
  <c r="V32" i="1" s="1"/>
  <c r="I31" i="1"/>
  <c r="V31" i="1" s="1"/>
  <c r="I30" i="1"/>
  <c r="V30" i="1" s="1"/>
  <c r="V29" i="1"/>
  <c r="U29" i="1"/>
  <c r="V28" i="1"/>
  <c r="U28" i="1"/>
  <c r="I27" i="1"/>
  <c r="I26" i="1"/>
  <c r="V26" i="1" s="1"/>
  <c r="I25" i="1"/>
  <c r="V25" i="1" s="1"/>
  <c r="I24" i="1"/>
  <c r="V24" i="1" s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I14" i="1"/>
  <c r="V14" i="1" s="1"/>
  <c r="I13" i="1"/>
  <c r="V13" i="1" s="1"/>
  <c r="I12" i="1"/>
  <c r="V12" i="1" s="1"/>
  <c r="I11" i="1"/>
  <c r="V11" i="1" s="1"/>
  <c r="I10" i="1"/>
  <c r="I9" i="1"/>
  <c r="U9" i="1" s="1"/>
  <c r="I8" i="1"/>
  <c r="V8" i="1" s="1"/>
  <c r="I7" i="1"/>
  <c r="V7" i="1" s="1"/>
  <c r="I5" i="1"/>
  <c r="V5" i="1" s="1"/>
  <c r="I4" i="1"/>
  <c r="V4" i="1" s="1"/>
  <c r="I3" i="1"/>
  <c r="V2" i="1"/>
  <c r="U594" i="1" l="1"/>
  <c r="U38" i="1"/>
  <c r="V484" i="1"/>
  <c r="U101" i="1"/>
  <c r="U25" i="1"/>
  <c r="V491" i="1"/>
  <c r="U439" i="1"/>
  <c r="U541" i="1"/>
  <c r="V398" i="1"/>
  <c r="U227" i="1"/>
  <c r="U181" i="1"/>
  <c r="U516" i="1"/>
  <c r="U585" i="1"/>
  <c r="U8" i="1"/>
  <c r="U275" i="1"/>
  <c r="U42" i="1"/>
  <c r="V117" i="1"/>
  <c r="U442" i="1"/>
  <c r="U166" i="1"/>
  <c r="U60" i="1"/>
  <c r="V154" i="1"/>
  <c r="U591" i="1"/>
  <c r="V230" i="1"/>
  <c r="U424" i="1"/>
  <c r="U519" i="1"/>
  <c r="U54" i="1"/>
  <c r="U455" i="1"/>
  <c r="U531" i="1"/>
  <c r="U118" i="1"/>
  <c r="U602" i="1"/>
  <c r="U67" i="1"/>
  <c r="V452" i="1"/>
  <c r="U45" i="1"/>
  <c r="U274" i="1"/>
  <c r="V326" i="1"/>
  <c r="U425" i="1"/>
  <c r="U560" i="1"/>
  <c r="V51" i="1"/>
  <c r="U229" i="1"/>
  <c r="U420" i="1"/>
  <c r="V436" i="1"/>
  <c r="U477" i="1"/>
  <c r="U11" i="1"/>
  <c r="U64" i="1"/>
  <c r="V134" i="1"/>
  <c r="U179" i="1"/>
  <c r="U382" i="1"/>
  <c r="V493" i="1"/>
  <c r="V533" i="1"/>
  <c r="U133" i="1"/>
  <c r="U470" i="1"/>
  <c r="U440" i="1"/>
  <c r="U548" i="1"/>
  <c r="V555" i="1"/>
  <c r="U12" i="1"/>
  <c r="U131" i="1"/>
  <c r="U390" i="1"/>
  <c r="U409" i="1"/>
  <c r="U427" i="1"/>
  <c r="V433" i="1"/>
  <c r="U494" i="1"/>
  <c r="U534" i="1"/>
  <c r="U558" i="1"/>
  <c r="V563" i="1"/>
  <c r="U24" i="1"/>
  <c r="U68" i="1"/>
  <c r="V221" i="1"/>
  <c r="U221" i="1"/>
  <c r="V495" i="1"/>
  <c r="U495" i="1"/>
  <c r="U551" i="1"/>
  <c r="U31" i="1"/>
  <c r="U75" i="1"/>
  <c r="U93" i="1"/>
  <c r="U323" i="1"/>
  <c r="V396" i="1"/>
  <c r="U396" i="1"/>
  <c r="V84" i="1"/>
  <c r="U84" i="1"/>
  <c r="V438" i="1"/>
  <c r="U438" i="1"/>
  <c r="V449" i="1"/>
  <c r="U449" i="1"/>
  <c r="U466" i="1"/>
  <c r="V466" i="1"/>
  <c r="U486" i="1"/>
  <c r="U572" i="1"/>
  <c r="U583" i="1"/>
  <c r="U61" i="1"/>
  <c r="V61" i="1"/>
  <c r="V410" i="1"/>
  <c r="U410" i="1"/>
  <c r="U568" i="1"/>
  <c r="V568" i="1"/>
  <c r="U35" i="1"/>
  <c r="U539" i="1"/>
  <c r="U575" i="1"/>
  <c r="U56" i="1"/>
  <c r="V56" i="1"/>
  <c r="V309" i="1"/>
  <c r="U407" i="1"/>
  <c r="V441" i="1"/>
  <c r="U441" i="1"/>
  <c r="U453" i="1"/>
  <c r="U564" i="1"/>
  <c r="V564" i="1"/>
  <c r="U588" i="1"/>
  <c r="V588" i="1"/>
  <c r="U599" i="1"/>
  <c r="V599" i="1"/>
  <c r="V3" i="1"/>
  <c r="U3" i="1"/>
  <c r="V48" i="1"/>
  <c r="U48" i="1"/>
  <c r="V380" i="1"/>
  <c r="U380" i="1"/>
  <c r="V391" i="1"/>
  <c r="U391" i="1"/>
  <c r="U404" i="1"/>
  <c r="U423" i="1"/>
  <c r="V423" i="1"/>
  <c r="V317" i="1"/>
  <c r="U317" i="1"/>
  <c r="U388" i="1"/>
  <c r="V419" i="1"/>
  <c r="U419" i="1"/>
  <c r="V429" i="1"/>
  <c r="U429" i="1"/>
  <c r="V474" i="1"/>
  <c r="V213" i="1"/>
  <c r="U180" i="1"/>
  <c r="U293" i="1"/>
  <c r="U321" i="1"/>
  <c r="U384" i="1"/>
  <c r="U400" i="1"/>
  <c r="U416" i="1"/>
  <c r="U426" i="1"/>
  <c r="U434" i="1"/>
  <c r="U446" i="1"/>
  <c r="U475" i="1"/>
  <c r="V483" i="1"/>
  <c r="V492" i="1"/>
  <c r="U520" i="1"/>
  <c r="V532" i="1"/>
  <c r="U544" i="1"/>
  <c r="U552" i="1"/>
  <c r="V557" i="1"/>
  <c r="U576" i="1"/>
  <c r="U603" i="1"/>
  <c r="U53" i="1"/>
  <c r="V81" i="1"/>
  <c r="U129" i="1"/>
  <c r="V177" i="1"/>
  <c r="U189" i="1"/>
  <c r="U197" i="1"/>
  <c r="V214" i="1"/>
  <c r="V225" i="1"/>
  <c r="U277" i="1"/>
  <c r="V285" i="1"/>
  <c r="V298" i="1"/>
  <c r="V310" i="1"/>
  <c r="U324" i="1"/>
  <c r="U381" i="1"/>
  <c r="U389" i="1"/>
  <c r="U392" i="1"/>
  <c r="U397" i="1"/>
  <c r="U405" i="1"/>
  <c r="U408" i="1"/>
  <c r="U411" i="1"/>
  <c r="U430" i="1"/>
  <c r="U454" i="1"/>
  <c r="V463" i="1"/>
  <c r="U487" i="1"/>
  <c r="U517" i="1"/>
  <c r="V549" i="1"/>
  <c r="U561" i="1"/>
  <c r="V565" i="1"/>
  <c r="V573" i="1"/>
  <c r="U589" i="1"/>
  <c r="U596" i="1"/>
  <c r="U228" i="1"/>
  <c r="U34" i="1"/>
  <c r="U37" i="1"/>
  <c r="U41" i="1"/>
  <c r="U74" i="1"/>
  <c r="U78" i="1"/>
  <c r="U82" i="1"/>
  <c r="U130" i="1"/>
  <c r="U141" i="1"/>
  <c r="U149" i="1"/>
  <c r="V178" i="1"/>
  <c r="V226" i="1"/>
  <c r="U322" i="1"/>
  <c r="U325" i="1"/>
  <c r="U365" i="1"/>
  <c r="U417" i="1"/>
  <c r="U447" i="1"/>
  <c r="U464" i="1"/>
  <c r="U473" i="1"/>
  <c r="U476" i="1"/>
  <c r="U550" i="1"/>
  <c r="U566" i="1"/>
  <c r="U574" i="1"/>
  <c r="V577" i="1"/>
  <c r="V593" i="1"/>
  <c r="V538" i="1"/>
  <c r="V571" i="1"/>
  <c r="V582" i="1"/>
  <c r="V590" i="1"/>
  <c r="U385" i="1"/>
  <c r="V190" i="1"/>
  <c r="U190" i="1"/>
  <c r="V358" i="1"/>
  <c r="U358" i="1"/>
  <c r="V461" i="1"/>
  <c r="U569" i="1"/>
  <c r="V569" i="1"/>
  <c r="U46" i="1"/>
  <c r="U49" i="1"/>
  <c r="V59" i="1"/>
  <c r="U70" i="1"/>
  <c r="U80" i="1"/>
  <c r="U415" i="1"/>
  <c r="U450" i="1"/>
  <c r="U515" i="1"/>
  <c r="V515" i="1"/>
  <c r="U545" i="1"/>
  <c r="U7" i="1"/>
  <c r="U14" i="1"/>
  <c r="U26" i="1"/>
  <c r="U30" i="1"/>
  <c r="U40" i="1"/>
  <c r="U43" i="1"/>
  <c r="V63" i="1"/>
  <c r="U63" i="1"/>
  <c r="U77" i="1"/>
  <c r="V105" i="1"/>
  <c r="U105" i="1"/>
  <c r="U125" i="1"/>
  <c r="V261" i="1"/>
  <c r="V341" i="1"/>
  <c r="U341" i="1"/>
  <c r="V383" i="1"/>
  <c r="U383" i="1"/>
  <c r="U401" i="1"/>
  <c r="U437" i="1"/>
  <c r="V443" i="1"/>
  <c r="U443" i="1"/>
  <c r="U542" i="1"/>
  <c r="V562" i="1"/>
  <c r="U562" i="1"/>
  <c r="V86" i="1"/>
  <c r="U86" i="1"/>
  <c r="V431" i="1"/>
  <c r="U431" i="1"/>
  <c r="V357" i="1"/>
  <c r="V164" i="1"/>
  <c r="U164" i="1"/>
  <c r="V262" i="1"/>
  <c r="U262" i="1"/>
  <c r="V478" i="1"/>
  <c r="U478" i="1"/>
  <c r="V559" i="1"/>
  <c r="U559" i="1"/>
  <c r="V578" i="1"/>
  <c r="U578" i="1"/>
  <c r="V460" i="1"/>
  <c r="U460" i="1"/>
  <c r="U5" i="1"/>
  <c r="U32" i="1"/>
  <c r="V55" i="1"/>
  <c r="U55" i="1"/>
  <c r="U65" i="1"/>
  <c r="U73" i="1"/>
  <c r="V79" i="1"/>
  <c r="V421" i="1"/>
  <c r="U421" i="1"/>
  <c r="U456" i="1"/>
  <c r="V9" i="1"/>
  <c r="U76" i="1"/>
  <c r="V273" i="1"/>
  <c r="U273" i="1"/>
  <c r="V10" i="1"/>
  <c r="U10" i="1"/>
  <c r="V33" i="1"/>
  <c r="U33" i="1"/>
  <c r="V345" i="1"/>
  <c r="U345" i="1"/>
  <c r="V379" i="1"/>
  <c r="V135" i="1"/>
  <c r="U135" i="1"/>
  <c r="V27" i="1"/>
  <c r="U27" i="1"/>
  <c r="V44" i="1"/>
  <c r="U44" i="1"/>
  <c r="U57" i="1"/>
  <c r="V71" i="1"/>
  <c r="U85" i="1"/>
  <c r="V106" i="1"/>
  <c r="U132" i="1"/>
  <c r="U165" i="1"/>
  <c r="V165" i="1"/>
  <c r="V231" i="1"/>
  <c r="U231" i="1"/>
  <c r="V249" i="1"/>
  <c r="U249" i="1"/>
  <c r="U278" i="1"/>
  <c r="V286" i="1"/>
  <c r="U286" i="1"/>
  <c r="V333" i="1"/>
  <c r="U333" i="1"/>
  <c r="V395" i="1"/>
  <c r="V402" i="1"/>
  <c r="U402" i="1"/>
  <c r="V444" i="1"/>
  <c r="U467" i="1"/>
  <c r="U586" i="1"/>
  <c r="V202" i="1"/>
  <c r="U237" i="1"/>
  <c r="V237" i="1"/>
  <c r="V414" i="1"/>
  <c r="U52" i="1"/>
  <c r="U62" i="1"/>
  <c r="V83" i="1"/>
  <c r="U83" i="1"/>
  <c r="V260" i="1"/>
  <c r="U260" i="1"/>
  <c r="V418" i="1"/>
  <c r="U418" i="1"/>
  <c r="V514" i="1"/>
  <c r="V142" i="1"/>
  <c r="U142" i="1"/>
  <c r="U182" i="1"/>
  <c r="U269" i="1"/>
  <c r="V327" i="1"/>
  <c r="U327" i="1"/>
  <c r="V386" i="1"/>
  <c r="U386" i="1"/>
  <c r="V201" i="1"/>
  <c r="U201" i="1"/>
  <c r="V245" i="1"/>
  <c r="U245" i="1"/>
  <c r="V356" i="1"/>
  <c r="U356" i="1"/>
  <c r="V369" i="1"/>
  <c r="U369" i="1"/>
  <c r="V399" i="1"/>
  <c r="U399" i="1"/>
  <c r="V556" i="1"/>
  <c r="U556" i="1"/>
  <c r="V468" i="1"/>
  <c r="U468" i="1"/>
  <c r="V488" i="1"/>
  <c r="U488" i="1"/>
  <c r="U518" i="1"/>
  <c r="V546" i="1"/>
  <c r="U546" i="1"/>
  <c r="V587" i="1"/>
  <c r="U587" i="1"/>
  <c r="V604" i="1"/>
  <c r="U604" i="1"/>
  <c r="V94" i="1"/>
  <c r="U94" i="1"/>
  <c r="V279" i="1"/>
  <c r="U279" i="1"/>
  <c r="V308" i="1"/>
  <c r="U308" i="1"/>
  <c r="U4" i="1"/>
  <c r="U13" i="1"/>
  <c r="U39" i="1"/>
  <c r="U50" i="1"/>
  <c r="U58" i="1"/>
  <c r="U66" i="1"/>
  <c r="U69" i="1"/>
  <c r="U72" i="1"/>
  <c r="V153" i="1"/>
  <c r="U153" i="1"/>
  <c r="U173" i="1"/>
  <c r="V183" i="1"/>
  <c r="U183" i="1"/>
  <c r="V212" i="1"/>
  <c r="U212" i="1"/>
  <c r="V250" i="1"/>
  <c r="U276" i="1"/>
  <c r="V346" i="1"/>
  <c r="V387" i="1"/>
  <c r="U393" i="1"/>
  <c r="V403" i="1"/>
  <c r="U412" i="1"/>
  <c r="V422" i="1"/>
  <c r="U445" i="1"/>
  <c r="V451" i="1"/>
  <c r="U451" i="1"/>
  <c r="U462" i="1"/>
  <c r="U465" i="1"/>
  <c r="V472" i="1"/>
  <c r="U482" i="1"/>
  <c r="U485" i="1"/>
  <c r="U512" i="1"/>
  <c r="V522" i="1"/>
  <c r="U537" i="1"/>
  <c r="U540" i="1"/>
  <c r="U553" i="1"/>
  <c r="V570" i="1"/>
  <c r="U570" i="1"/>
  <c r="U584" i="1"/>
  <c r="U601" i="1"/>
  <c r="V521" i="1"/>
  <c r="U521" i="1"/>
  <c r="V87" i="1"/>
  <c r="U87" i="1"/>
  <c r="V116" i="1"/>
  <c r="U116" i="1"/>
  <c r="V238" i="1"/>
  <c r="U238" i="1"/>
  <c r="V334" i="1"/>
  <c r="U334" i="1"/>
  <c r="V432" i="1"/>
  <c r="U432" i="1"/>
  <c r="U448" i="1"/>
  <c r="V469" i="1"/>
  <c r="V490" i="1"/>
  <c r="V547" i="1"/>
  <c r="U567" i="1"/>
  <c r="U598" i="1"/>
  <c r="V297" i="1"/>
  <c r="U297" i="1"/>
  <c r="V394" i="1"/>
  <c r="U394" i="1"/>
  <c r="V413" i="1"/>
  <c r="U413" i="1"/>
  <c r="V513" i="1"/>
  <c r="U513" i="1"/>
  <c r="V554" i="1"/>
  <c r="U554" i="1"/>
  <c r="U595" i="1"/>
  <c r="U1" i="1" l="1"/>
  <c r="V1" i="1"/>
</calcChain>
</file>

<file path=xl/sharedStrings.xml><?xml version="1.0" encoding="utf-8"?>
<sst xmlns="http://schemas.openxmlformats.org/spreadsheetml/2006/main" count="20543" uniqueCount="7703">
  <si>
    <t>Auslieferung</t>
  </si>
  <si>
    <t>Domain</t>
  </si>
  <si>
    <t>Term</t>
  </si>
  <si>
    <t>Range</t>
  </si>
  <si>
    <t>Definition</t>
  </si>
  <si>
    <t>NachweisTyp (wie Wert entstanden ist)</t>
  </si>
  <si>
    <t>Typ</t>
  </si>
  <si>
    <t>nullable</t>
  </si>
  <si>
    <t>Quelle</t>
  </si>
  <si>
    <t>Query</t>
  </si>
  <si>
    <t>KycCustomC</t>
  </si>
  <si>
    <t>KycCustomD</t>
  </si>
  <si>
    <t>KycCustomE</t>
  </si>
  <si>
    <t>KycStandard</t>
  </si>
  <si>
    <t>SearchResponse / Rechtseinheit Short</t>
  </si>
  <si>
    <t>CDD Erweitert</t>
  </si>
  <si>
    <t>lieferArt</t>
  </si>
  <si>
    <t>KycCheck</t>
  </si>
  <si>
    <t>deliveryType</t>
  </si>
  <si>
    <t>DeliveryType</t>
  </si>
  <si>
    <t>Angabe, ob es sich um ein recherchiertes Produkt oder eine abgebrochene Recherche handelt</t>
  </si>
  <si>
    <t>RecherchiertesProdukt</t>
  </si>
  <si>
    <t>AbgebrocheneRecherche</t>
  </si>
  <si>
    <t>egal</t>
  </si>
  <si>
    <t>Fokusrechtseinheit.rechtseinheit.id</t>
  </si>
  <si>
    <t>EconomicOperator</t>
  </si>
  <si>
    <t>identifier</t>
  </si>
  <si>
    <t>BanzId</t>
  </si>
  <si>
    <t>Die eindeutige Identifikationsnummer, die vom Bundesanzeiger Verlag bereitgestellt wird und das zu prüfende Unternehmen (Fokusrechtseinheit) als Teil des KYC-Service identifiziert</t>
  </si>
  <si>
    <t>Id</t>
  </si>
  <si>
    <t>string</t>
  </si>
  <si>
    <t>false</t>
  </si>
  <si>
    <t>.Stammdaten.Liste | arrays | .[] | select(.Eigenschaft=="UfId").Wert | numbers | "R" +  tostring</t>
  </si>
  <si>
    <t>Ja</t>
  </si>
  <si>
    <t>Fokusrechtseinheit.rechtseinheit.name</t>
  </si>
  <si>
    <t>legalName</t>
  </si>
  <si>
    <t>xsd:String</t>
  </si>
  <si>
    <t>Der Name des zu prüfenden Unternehmens (Fokusrechtseinheit), der in den amtlichen Unternehmensregistern eingetragen ist</t>
  </si>
  <si>
    <t>original</t>
  </si>
  <si>
    <t>.Stammdaten.Liste | arrays | .[] | select(.Eigenschaft=="Name").Wert | strings</t>
  </si>
  <si>
    <t>Fokusrechtseinheit.rechtseinheit.firmenKennziffer</t>
  </si>
  <si>
    <t>Interne Prüfnummer vom Bundesanzeiger Verlag zu dem zu prüfenden Unternehmen (Fokusrechtseinheit) bzw. der zu prüfenden Entität</t>
  </si>
  <si>
    <t>.Stammdaten.Liste | arrays | .[] | select(.Eigenschaft=="UnternehmensId").Wert | numbers | tostring</t>
  </si>
  <si>
    <t>Nein</t>
  </si>
  <si>
    <t>Fokusrechtseinheit.rechtseinheit.adressen.register</t>
  </si>
  <si>
    <t>registeredAddress</t>
  </si>
  <si>
    <t>Address</t>
  </si>
  <si>
    <t>Fokusrechtseinheit.rechtseinheit.adressen.register.strasse</t>
  </si>
  <si>
    <t>thoroughfare</t>
  </si>
  <si>
    <t>STRASSE - Adresse der Entität gemäß der Adresse im offiziellen Register</t>
  </si>
  <si>
    <t>.Stammdaten.Liste | arrays | .[] | select(.Eigenschaft=="Straße").Wert | strings</t>
  </si>
  <si>
    <t>Fokusrechtseinheit.rechtseinheit.adressen.register.hausNummer</t>
  </si>
  <si>
    <t>locatorDesignator</t>
  </si>
  <si>
    <t>HAUSNUMMER - Adresse der Entität gemäß der Adresse im offiziellen Register</t>
  </si>
  <si>
    <t>.Stammdaten.Liste | arrays | .[] | select(.Eigenschaft=="HausNummer").Wert | strings</t>
  </si>
  <si>
    <t>Fokusrechtseinheit.rechtseinheit.adressen.register.hausNummerZusatz</t>
  </si>
  <si>
    <t>concatinated to hausnummer</t>
  </si>
  <si>
    <t>ADRESSSUFFIX  - Adresse der Entität gemäß der Adresse im offiziellen Register</t>
  </si>
  <si>
    <t>.Stammdaten.Liste | arrays | .[] | select(.Eigenschaft=="Haus Nummer Zusatz").Wert | strings</t>
  </si>
  <si>
    <t>??</t>
  </si>
  <si>
    <t>Fokusrechtseinheit.rechtseinheit.adressen.register.plz</t>
  </si>
  <si>
    <t>postCode</t>
  </si>
  <si>
    <t>POSTLEITZAHL - Adresse der Entität gemäß der Adresse im offiziellen Register</t>
  </si>
  <si>
    <t>.Stammdaten.Liste | arrays | .[] | select(.Eigenschaft=="PLZ").Wert | strings</t>
  </si>
  <si>
    <t>Fokusrechtseinheit.rechtseinheit.adressen.register.stadt</t>
  </si>
  <si>
    <t>postName</t>
  </si>
  <si>
    <t>STADT - Adresse der Entität gemäß der Adresse im offiziellen Register</t>
  </si>
  <si>
    <t>.Stammdaten.Liste | arrays | .[] | select(.Eigenschaft=="Stadt").Wert | strings</t>
  </si>
  <si>
    <t>Fokusrechtseinheit.rechtseinheit.adressen.register.bundesland</t>
  </si>
  <si>
    <t>adminUnitL2</t>
  </si>
  <si>
    <t>BUNDESLAND - Adresse der Entität gemäß der Adresse im offiziellen Register</t>
  </si>
  <si>
    <t>.Stammdaten.Liste | arrays | .[] | select(.Eigenschaft=="Bundesland").Wert | strings</t>
  </si>
  <si>
    <t>Fokusrechtseinheit.rechtseinheit.adressen.register.land</t>
  </si>
  <si>
    <t>adminUnitL1</t>
  </si>
  <si>
    <t>LAND - Adresse der Entität gemäß der Adresse im offiziellen Register</t>
  </si>
  <si>
    <t>.Stammdaten.Liste | arrays | .[] | select(.Eigenschaft=="Land").Wert | strings</t>
  </si>
  <si>
    <t>Fokusrechtseinheit.rechtseinheit.adressen.register.adressZusatz</t>
  </si>
  <si>
    <t>ADRESSZUSATZINFORMATIONEN (c/o) - Adresse der Entität gemäß der Adresse im offiziellen Register</t>
  </si>
  <si>
    <t>.Stammdaten.Liste | arrays | .[] | select(.Eigenschaft=="Adresszusatz").Wert | strings</t>
  </si>
  <si>
    <t>Fokusrechtseinheit.rechtseinheit.adressen.domicile</t>
  </si>
  <si>
    <t>KycLegalEntity</t>
  </si>
  <si>
    <t>domicile</t>
  </si>
  <si>
    <t>Fokusrechtseinheit.rechtseinheit.adressen.domicile.strasse</t>
  </si>
  <si>
    <t>STRASSE - Domiziladresse der Entität, nur ausgefüllt, sofern in primärer Quelle verfügbar</t>
  </si>
  <si>
    <t>Fokusrechtseinheit.rechtseinheit.adressen.domicile.hausNummer</t>
  </si>
  <si>
    <t>HAUSNUMMER - Domiziladresse der Entität, nur ausgefüllt, sofern in primärer Quelle verfügbar</t>
  </si>
  <si>
    <t>Fokusrechtseinheit.rechtseinheit.adressen.domicile.hausNummerZusatz</t>
  </si>
  <si>
    <t>ADRESSSUFFIX  - Domiziladresse der Entität, nur ausgefüllt, sofern in primärer Quelle verfügbar</t>
  </si>
  <si>
    <t>Fokusrechtseinheit.rechtseinheit.adressen.domicile.plz</t>
  </si>
  <si>
    <t>POSTLEITZAHL - Domiziladresse der Entität, nur ausgefüllt, sofern in primärer Quelle verfügbar</t>
  </si>
  <si>
    <t>Fokusrechtseinheit.rechtseinheit.adressen.domicile.stadt</t>
  </si>
  <si>
    <t>STADT - Domiziladresse der Entität, nur ausgefüllt, sofern in primärer Quelle verfügbar</t>
  </si>
  <si>
    <t>Fokusrechtseinheit.rechtseinheit.adressen.domicile.bundesland</t>
  </si>
  <si>
    <t>BUNDESLAND - Domiziladresse der Entität, nur ausgefüllt, sofern in primärer Quelle verfügbar</t>
  </si>
  <si>
    <t>Fokusrechtseinheit.rechtseinheit.adressen.domicile.land</t>
  </si>
  <si>
    <t>LAND - Domiziladresse der Entität, nur ausgefüllt, sofern in primärer Quelle verfügbar</t>
  </si>
  <si>
    <t>Fokusrechtseinheit.rechtseinheit.adressen.domicile.adressZusatz</t>
  </si>
  <si>
    <t>ADRESSZUSATZINFORMATIONEN (c/o) - Domiziladresse der Entität, nur ausgefüllt, sofern in primärer Quelle verfügbar</t>
  </si>
  <si>
    <t>Fokusrechtseinheit.rechtseinheit.registerIdentifikation</t>
  </si>
  <si>
    <t>.Stammdaten.Liste | arrays | .[] | select(.Eigenschaft=="Registerart").Wert | strings</t>
  </si>
  <si>
    <t>Fokusrechtseinheit.rechtseinheit.registerIdentifikation.registerArt</t>
  </si>
  <si>
    <t>Art des Registers, in dem das Fokusunternehmen registriert ist</t>
  </si>
  <si>
    <t>.Stammdaten.Liste | arrays | .[] | select(.Eigenschaft=="Registername").Wert | strings</t>
  </si>
  <si>
    <t>Fokusrechtseinheit.rechtseinheit.registerIdentifikation.registerArtBeschreibung</t>
  </si>
  <si>
    <t>Registrierungsstelle, bei der das Fokusunternehmen registriert ist</t>
  </si>
  <si>
    <t>.Stammdaten.Liste | arrays | .[] | select(.Eigenschaft=="Register Ort").Wert | strings</t>
  </si>
  <si>
    <t>Fokusrechtseinheit.rechtseinheit.registerIdentifikation.registerOrt</t>
  </si>
  <si>
    <t>Name des Amtsgerichts, in dem das Fokusunternehmen registriert ist</t>
  </si>
  <si>
    <t>.Stammdaten.Liste | arrays | .[] | select(.Eigenschaft=="Registernummer").Wert | strings</t>
  </si>
  <si>
    <t>Fokusrechtseinheit.rechtseinheit.registerIdentifikation.registerNummer</t>
  </si>
  <si>
    <t>Offizielle Identifikationsnummer des Amtsgericht, bei dem das Fokusunternehmen registriert ist</t>
  </si>
  <si>
    <t>UFDB</t>
  </si>
  <si>
    <t>.Stammdaten.Liste | arrays | .[] | select(.Eigenschaft=="CompanyId").Wert | strings</t>
  </si>
  <si>
    <t>Fokusrechtseinheit.rechtseinheit.registerIdentifikation.companyId</t>
  </si>
  <si>
    <t>Identifikationsnummer des Unternehmens im Register (Ausland)</t>
  </si>
  <si>
    <t>.Stammdaten.Liste | arrays | .[] | select(.Eigenschaft=="CompanyIdCountryCode").Wert | strings</t>
  </si>
  <si>
    <t>Fokusrechtseinheit.rechtseinheit.registerIdentifikation.companyIdCountryCode</t>
  </si>
  <si>
    <t>Code des Landes für Identifikationsnummer des Unternehmens im Register (Ausland)</t>
  </si>
  <si>
    <t>.Stammdaten.Liste | arrays | .[] | select(.Eigenschaft=="VorherigerName").Wert | strings</t>
  </si>
  <si>
    <t>Fokusrechtseinheit.rechtseinheit.vorherigeNamen[].vorherigerName</t>
  </si>
  <si>
    <t>formerName</t>
  </si>
  <si>
    <t>Vorheriger registrierter Name des Fokusunternehmens</t>
  </si>
  <si>
    <t>.Stammdaten.Liste | arrays | .[] | select(.Eigenschaft=="Status").Wert | numbers</t>
  </si>
  <si>
    <t>Fokusrechtseinheit.rechtseinheit.status</t>
  </si>
  <si>
    <t>Company</t>
  </si>
  <si>
    <t>legalStatus</t>
  </si>
  <si>
    <t>Aktivitätsstatus des Fokusunternehmens</t>
  </si>
  <si>
    <t>.Stammdaten.Liste | arrays | .[] | select(.Eigenschaft=="Liquidationsstatus").Wert | numbers</t>
  </si>
  <si>
    <t>Fokusrechtseinheit.rechtseinheit.liquidationStatus</t>
  </si>
  <si>
    <t>liquidationStatus</t>
  </si>
  <si>
    <t>Liquidationsstatus des Fokusunternehmens</t>
  </si>
  <si>
    <t>.Stammdaten.Liste | arrays | .[] | select(.Eigenschaft=="Insolvenzstatus").Wert | numbers</t>
  </si>
  <si>
    <t>Fokusrechtseinheit.rechtseinheit.insolvenzStatus</t>
  </si>
  <si>
    <t>insolvencyStatus</t>
  </si>
  <si>
    <t>Insolvenzstatus des Fokusunternehmens</t>
  </si>
  <si>
    <t>.Stammdaten.Liste | arrays | .[] | select(.Eigenschaft=="Rechtsform").Wert | strings</t>
  </si>
  <si>
    <t>Fokusrechtseinheit.rechtseinheit.rechtsform</t>
  </si>
  <si>
    <t>legalForm</t>
  </si>
  <si>
    <t>Rechtsform des Fokusunternehmens</t>
  </si>
  <si>
    <t>boolean</t>
  </si>
  <si>
    <t>.Stammdaten.Liste | arrays | .[] | select(.Eigenschaft=="IstStiftung").Wert | numbers</t>
  </si>
  <si>
    <t>Fokusrechtseinheit.rechtseinheit.istStiftung</t>
  </si>
  <si>
    <t>isFoundation</t>
  </si>
  <si>
    <t>xsd:Boolean</t>
  </si>
  <si>
    <t>Entitätstyp: Stiftung. Gibt an, ob es sich bei dem Fokusunternehmen um eine Stiftung handelt</t>
  </si>
  <si>
    <t>.Stammdaten.Liste | arrays | .[] | select(.Eigenschaft=="IstNfrdPflichtig").Wert | numbers</t>
  </si>
  <si>
    <t>Fokusrechtseinheit.rechtseinheit.istNfrdPflichtig</t>
  </si>
  <si>
    <t>isCsrdObligated</t>
  </si>
  <si>
    <t>Gibt an, ob das Fokusunternehmen Nfrd-pflichtig ist</t>
  </si>
  <si>
    <t>.Stammdaten.Liste | arrays | .[] | select(.Eigenschaft=="IstTreuhand").Wert | numbers</t>
  </si>
  <si>
    <t>Fokusrechtseinheit.rechtseinheit.istTreuhand</t>
  </si>
  <si>
    <t>isTrust</t>
  </si>
  <si>
    <t>Entitätstyp: Trust. Gibt an, ob es sich bei dem Fokusunternehmen um einen Trust handelt</t>
  </si>
  <si>
    <t>.Stammdaten.Liste | arrays | .[] | select(.Eigenschaft=="Gegenstand").Wert | strings</t>
  </si>
  <si>
    <t>Fokusrechtseinheit.rechtseinheit.gegenstand</t>
  </si>
  <si>
    <t>TBD</t>
  </si>
  <si>
    <t xml:space="preserve">Beschreibung der Art der Geschäftstätigkeit des Unternehmens, einschließlich der Art und des Zwecks </t>
  </si>
  <si>
    <t>.Stammdaten.Liste | arrays | .[] | select(.Eigenschaft=="ErsteintragungsDatum").Wert | strings</t>
  </si>
  <si>
    <t>Fokusrechtseinheit.rechtseinheit.eintragungDatum</t>
  </si>
  <si>
    <t>dateOfRegistration</t>
  </si>
  <si>
    <t>xsd:Date</t>
  </si>
  <si>
    <t>Das Datum, an dem die juristische Person beim amtlichen Register erstmalig eingetragen wurde</t>
  </si>
  <si>
    <t>.Boerse | if .==null then empty else . end | .Liste | arrays | .[].Boerse | strings</t>
  </si>
  <si>
    <t>Fokusrechtseinheit.rechtseinheit.boersen[]</t>
  </si>
  <si>
    <t>stockExchangeListing</t>
  </si>
  <si>
    <t>StockExchangeListing</t>
  </si>
  <si>
    <t>.Boerse | if .==null then empty else . end | .Liste | arrays | .[].Land | strings</t>
  </si>
  <si>
    <t>Fokusrechtseinheit.rechtseinheit.boersen[].boerse</t>
  </si>
  <si>
    <t>exchange</t>
  </si>
  <si>
    <t>StockExchange</t>
  </si>
  <si>
    <t>.Boerse | if .==null then empty else . end | .Liste | arrays | .[].Kuerzel | strings</t>
  </si>
  <si>
    <t>Fokusrechtseinheit.rechtseinheit.boersen[].boerse.name</t>
  </si>
  <si>
    <t>exchangeName</t>
  </si>
  <si>
    <t>Name der Börse der Fokusrechtseinheit</t>
  </si>
  <si>
    <t>Fokusrechtseinheit.rechtseinheit.boersen[].boerse.land</t>
  </si>
  <si>
    <t>exchangeCountry</t>
  </si>
  <si>
    <t>CountryCode</t>
  </si>
  <si>
    <t>Land der Börse der Fokusrechtseinheit</t>
  </si>
  <si>
    <t>.Boerse | if .==null then empty else . end | .Liste | arrays | .[].Ticker | strings</t>
  </si>
  <si>
    <t>Fokusrechtseinheit.rechtseinheit.boersen[].boerse.marktIdentifikationCode</t>
  </si>
  <si>
    <t>marketIdentificationCode</t>
  </si>
  <si>
    <t>Operating MIC</t>
  </si>
  <si>
    <t>.Stammdaten.Liste | arrays | .[] | select(.Eigenschaft=="ISIN").Wert | strings</t>
  </si>
  <si>
    <t>Fokusrechtseinheit.rechtseinheit.boersen[].marktIdentifikationCode</t>
  </si>
  <si>
    <t>Name der Börse</t>
  </si>
  <si>
    <t>.Stammdaten.Liste | arrays | .[] | select(.Eigenschaft=="UstId").Wert | strings</t>
  </si>
  <si>
    <t>Fokusrechtseinheit.rechtseinheit.boersen[].tickerSymbol</t>
  </si>
  <si>
    <t>tickerSymbol</t>
  </si>
  <si>
    <t>Börsentickersymbol der Fokusrechtseinheit</t>
  </si>
  <si>
    <t>.ekrn | strings</t>
  </si>
  <si>
    <t>Fokusrechtseinheit.rechtseinheit.isin</t>
  </si>
  <si>
    <t>Isin</t>
  </si>
  <si>
    <t>Internationale Wertpapierkennnummer zu eindeutig identifiziertem Wertpapier der Fokusrechtseinheit</t>
  </si>
  <si>
    <t>.Stammdaten.Liste | arrays | .[] | select(.Eigenschaft=="Gesellschaftsart").Wert | strings</t>
  </si>
  <si>
    <t>Fokusrechtseinheit.rechtseinheit.ustid</t>
  </si>
  <si>
    <t>VatId</t>
  </si>
  <si>
    <t>Umsatzsteuer-Identifikationsnummer der Fokusrechtseinheit</t>
  </si>
  <si>
    <t>.Stammdaten.Liste | arrays | .[] | select(.Eigenschaft=="BaFin-Id").Wert | numbers | tostring | "BaFin"</t>
  </si>
  <si>
    <t>Fokusrechtseinheit.rechtseinheit.ekrn</t>
  </si>
  <si>
    <t>EKRN (Einheitliche und Kontinuierliche Rechtseinheitsnummer) ist die Identifikationsnummer, welche dem Fokusunternehmen seitens Transparenzregister bei der Erstregistrierung zugewiesen wurde</t>
  </si>
  <si>
    <t>.Stammdaten.Liste | arrays | .[] | select(.Eigenschaft=="BaFin-Id").Wert | numbers | tostring</t>
  </si>
  <si>
    <t>Fokusrechtseinheit.rechtseinheit.gesellschaftArt</t>
  </si>
  <si>
    <t>companyCategory</t>
  </si>
  <si>
    <t>Gesellschaftsart der Fokusrechtseinheit</t>
  </si>
  <si>
    <t>.Stammdaten.Liste | arrays | if (.[] | select(.Eigenschaft=="BaFin-Id").Wert | numbers) then (.[] | select(.Eigenschaft=="BaFin-GattungId").Wert | numbers) else empty end</t>
  </si>
  <si>
    <t>Fokusrechtseinheit.rechtseinheit.regulatoren[]</t>
  </si>
  <si>
    <t>regulator</t>
  </si>
  <si>
    <t>Regulator</t>
  </si>
  <si>
    <t>.Stammdaten.Liste | arrays | .[] | select(.Eigenschaft=="Stichtag").Wert | strings</t>
  </si>
  <si>
    <t>Fokusrechtseinheit.rechtseinheit.regulatoren[].name</t>
  </si>
  <si>
    <t>regulatorName</t>
  </si>
  <si>
    <t>Identifizierung, ob das Unternehmen bei der BaFin registriert ist</t>
  </si>
  <si>
    <t>.Stammdaten.Liste | arrays | .[] | select(.Eigenschaft=="Kapital").Wert | strings</t>
  </si>
  <si>
    <t>Fokusrechtseinheit.rechtseinheit.regulatoren[].reguliertenId</t>
  </si>
  <si>
    <t>regulatedId</t>
  </si>
  <si>
    <t>Die von der BaFin vergebene ID, die spezifisch für das Unternehmen ist, falls es reguliert ist</t>
  </si>
  <si>
    <t>.Stammdaten.Liste | arrays | .[] | select(.Eigenschaft=="KapitalWaehrung").Wert | strings</t>
  </si>
  <si>
    <t>Fokusrechtseinheit.rechtseinheit.regulatoren[].beschreibungen[].beschreibung</t>
  </si>
  <si>
    <t>regulatorClassification</t>
  </si>
  <si>
    <t>Einordnung des Typs der Entität nach BaFin-Defintion</t>
  </si>
  <si>
    <t>Fokusrechtseinheit.rechtseinheit.stichtag</t>
  </si>
  <si>
    <t>balanceSheetDate</t>
  </si>
  <si>
    <t>Bilanzstichtag</t>
  </si>
  <si>
    <t>Fokusrechtseinheit.rechtseinheit.kapital</t>
  </si>
  <si>
    <t>subscribedCapital</t>
  </si>
  <si>
    <t>MonetaryAmount</t>
  </si>
  <si>
    <t>.Stammdaten.Wz08 | arrays | .[].Wert | strings</t>
  </si>
  <si>
    <t>Fokusrechtseinheit.rechtseinheit.kapital.betrag</t>
  </si>
  <si>
    <t>amount</t>
  </si>
  <si>
    <t>xsd:Float</t>
  </si>
  <si>
    <t>Gezeichnetes Kapital der Fokusrechtseinheit</t>
  </si>
  <si>
    <t>.Stammdaten.Wz08 | arrays | .[].AnzeigeWert | strings</t>
  </si>
  <si>
    <t>Fokusrechtseinheit.rechtseinheit.kapital.waehrung</t>
  </si>
  <si>
    <t>currency</t>
  </si>
  <si>
    <t>Currency</t>
  </si>
  <si>
    <t>Währung des gezeichneten Kapitals der Fokusrechtseinheit</t>
  </si>
  <si>
    <t>.Stammdaten.Nace2 | arrays | .[].Wert | strings</t>
  </si>
  <si>
    <t>Fokusrechtseinheit.rechtseinheit.branchen.wz2003[].code</t>
  </si>
  <si>
    <t>activity</t>
  </si>
  <si>
    <t>Wz2003</t>
  </si>
  <si>
    <t>WZ03 Branchencode</t>
  </si>
  <si>
    <t>.Stammdaten.Nace2 | arrays | .[].AnzeigeWert | strings</t>
  </si>
  <si>
    <t>Fokusrechtseinheit.rechtseinheit.branchen.wz2003[].beschreibung</t>
  </si>
  <si>
    <t>part of the code concept</t>
  </si>
  <si>
    <t>WZ03 Codebeschreibung</t>
  </si>
  <si>
    <t>Fokusrechtseinheit.rechtseinheit.branchen.wz2008[].code</t>
  </si>
  <si>
    <t>Wz2008</t>
  </si>
  <si>
    <t>WZ08 Branchencode</t>
  </si>
  <si>
    <t>Fokusrechtseinheit.rechtseinheit.branchen.wz2008[].beschreibung</t>
  </si>
  <si>
    <t>WZ08 Codebeschreibung</t>
  </si>
  <si>
    <t>Fokusrechtseinheit.rechtseinheit.branchen.nace020[].code</t>
  </si>
  <si>
    <t>Nace21</t>
  </si>
  <si>
    <t>NACE 2 Branchencode</t>
  </si>
  <si>
    <t>Fokusrechtseinheit.rechtseinheit.branchen.nace020[].beschreibung</t>
  </si>
  <si>
    <t>NACE 2 Codebeschreibung</t>
  </si>
  <si>
    <t>.Stammdaten.Liste | arrays | .[] | select(.Eigenschaft=="Webseite").Wert | strings</t>
  </si>
  <si>
    <t>Fokusrechtseinheit.rechtseinheit.branchen.sic1987[].code</t>
  </si>
  <si>
    <t>Sic</t>
  </si>
  <si>
    <t>SIC Branchencode</t>
  </si>
  <si>
    <t>.Stammdaten.Liste | arrays | .[] | select(.Eigenschaft=="Telefon").Wert | strings</t>
  </si>
  <si>
    <t>Fokusrechtseinheit.rechtseinheit.branchen.sic1987[].beschreibung</t>
  </si>
  <si>
    <t>SIC Codebeschreibung</t>
  </si>
  <si>
    <t>.Stammdaten.Liste | arrays | .[] | select(.Eigenschaft=="Telefax").Wert | strings</t>
  </si>
  <si>
    <t>Fokusrechtseinheit.rechtseinheit.branchen.naics2002[].code</t>
  </si>
  <si>
    <t>Naics</t>
  </si>
  <si>
    <t>NAICS Branchencode</t>
  </si>
  <si>
    <t>.Stammdaten.Liste | arrays | .[] | select(.Eigenschaft=="LEI").Wert | strings</t>
  </si>
  <si>
    <t>Fokusrechtseinheit.rechtseinheit.branchen.naics2002[].beschreibung</t>
  </si>
  <si>
    <t>NAICS Codebeschreibung</t>
  </si>
  <si>
    <t>.Stammdaten.Liste | arrays | .[] | select(.Eigenschaft=="IstAmOrganisiertenMarkt").Wert | numbers</t>
  </si>
  <si>
    <t>Fokusrechtseinheit.rechtseinheit.webseite</t>
  </si>
  <si>
    <t>website</t>
  </si>
  <si>
    <t>xsd:anyURI</t>
  </si>
  <si>
    <t>Website der Fokusrechtseinheit</t>
  </si>
  <si>
    <t>.Stammdaten.Liste | arrays | .[] | select(.Eigenschaft=="LEI-Status").Wert | strings</t>
  </si>
  <si>
    <t>Fokusrechtseinheit.rechtseinheit.telefon</t>
  </si>
  <si>
    <t>ContactPoint</t>
  </si>
  <si>
    <t>hasTelephone</t>
  </si>
  <si>
    <t>Telefonnummer der Fokusrechtseinheit</t>
  </si>
  <si>
    <t>.Stammdaten.Liste | arrays | .[] | select(.Eigenschaft=="LEI-Naechsteausstellung").Wert | strings</t>
  </si>
  <si>
    <t>Fokusrechtseinheit.rechtseinheit.telefax</t>
  </si>
  <si>
    <t>hasFax</t>
  </si>
  <si>
    <t>Telefaxnummer der Fokusrechtseinheit</t>
  </si>
  <si>
    <t>.Stammdaten.Liste | arrays | .[] | select(.Eigenschaft=="EUId").Wert | strings</t>
  </si>
  <si>
    <t>Fokusrechtseinheit.rechtseinheit.lei</t>
  </si>
  <si>
    <t>Lei</t>
  </si>
  <si>
    <t>UnternehmensID nach LEI</t>
  </si>
  <si>
    <t>.Geschaeftsjahre.Liste | arrays | map (select (.GeschaeftsjahrDatum != null)) | max_by(.GeschaeftsjahrDatum) | .Unternehmensgroesse | strings</t>
  </si>
  <si>
    <t>Fokusrechtseinheit.rechtseinheit.istAmOrganisiertenMarkt</t>
  </si>
  <si>
    <t>listedOnRegulatedMarket</t>
  </si>
  <si>
    <t>Kapitalmarktorientierung der Fokusrechtseinheit</t>
  </si>
  <si>
    <t>.Geschaeftsjahre.Liste | arrays | map (select (.GeschaeftsjahrDatum != null)) | max_by(.GeschaeftsjahrDatum) | .Umsatzerloese | numbers | tostring</t>
  </si>
  <si>
    <t>Fokusrechtseinheit.rechtseinheit.leiStatus</t>
  </si>
  <si>
    <t>leiStatus</t>
  </si>
  <si>
    <t>Status der LEI</t>
  </si>
  <si>
    <t>.Geschaeftsjahre.Liste | arrays | map (select (.GeschaeftsjahrDatum != null)) | max_by(.GeschaeftsjahrDatum) | .UmsatzerloeseWaehrung | strings</t>
  </si>
  <si>
    <t>Fokusrechtseinheit.rechtseinheit.leiNaechsteAusstellung</t>
  </si>
  <si>
    <t xml:space="preserve">Nächstes Datum, zu dem eine neue Ausstellung der LEI erfolgen soll </t>
  </si>
  <si>
    <t>.Geschaeftsjahre.Liste | arrays | map (select (.GeschaeftsjahrDatum != null)) | max_by(.GeschaeftsjahrDatum) | .OperativesErgebnis | numbers | tostring</t>
  </si>
  <si>
    <t>Fokusrechtseinheit.rechtseinheit.euid</t>
  </si>
  <si>
    <t>legalIdentifier</t>
  </si>
  <si>
    <t>Euid</t>
  </si>
  <si>
    <t>Die EU-ID ist eine europaweite eindeutige Identifikationsnummer für europäische Unternehmen (aktuell nur für DE befüllt)</t>
  </si>
  <si>
    <t>.Geschaeftsjahre.Liste | arrays | map (select (.GeschaeftsjahrDatum != null)) | max_by(.GeschaeftsjahrDatum) | .OperativesErgebnisWaehrung | strings</t>
  </si>
  <si>
    <t>Fokusrechtseinheit.geschaeftsJahre[]</t>
  </si>
  <si>
    <t>financialYear</t>
  </si>
  <si>
    <t>FinancialYear</t>
  </si>
  <si>
    <t>.Geschaeftsjahre.Liste | arrays | map (select (.GeschaeftsjahrDatum != null)) | max_by(.GeschaeftsjahrDatum) | .MitarbeiterAnzahl | numbers | tostring</t>
  </si>
  <si>
    <t>Fokusrechtseinheit.geschaeftsJahre[].unternehmenGroesse</t>
  </si>
  <si>
    <t>companySize</t>
  </si>
  <si>
    <t>Größenklasse der Fokusrechtseinheit nach HGB</t>
  </si>
  <si>
    <t>.Geschaeftsjahre.Liste | arrays | map (select (.GeschaeftsjahrDatum != null)) | max_by(.GeschaeftsjahrDatum) | .Bilanzsumme | numbers | tostring</t>
  </si>
  <si>
    <t>Fokusrechtseinheit.geschaeftsJahre[].umsatzErloese</t>
  </si>
  <si>
    <t>revenue</t>
  </si>
  <si>
    <t>.Geschaeftsjahre.Liste | arrays | map (select (.GeschaeftsjahrDatum != null)) | max_by(.GeschaeftsjahrDatum) | .BilanzWaehrung | strings</t>
  </si>
  <si>
    <t>Fokusrechtseinheit.geschaeftsJahre[].umsatzErloese.betrag</t>
  </si>
  <si>
    <t>Umsatzerlöse der Fokusrechtseinheit</t>
  </si>
  <si>
    <t>.Geschaeftsjahre.Liste | arrays | map (select (.GeschaeftsjahrDatum != null)) | max_by(.GeschaeftsjahrDatum) | .GeschaeftsjahrDatum | strings</t>
  </si>
  <si>
    <t>Fokusrechtseinheit.geschaeftsJahre[].umsatzErloese.waehrung</t>
  </si>
  <si>
    <t>Währung der Umsatzerlöse</t>
  </si>
  <si>
    <t>.WirtschaftlichBerechtigt.Standard | arrays | .[] | select(.AnteilAbsolut != null).UfId | numbers | "P" +  tostring</t>
  </si>
  <si>
    <t>Fokusrechtseinheit.geschaeftsJahre[].operativesErgebnis</t>
  </si>
  <si>
    <t>operatingResult</t>
  </si>
  <si>
    <t>calculated</t>
  </si>
  <si>
    <t>.WirtschaftlichBerechtigt.Standard | arrays | .[] | select(.AnteilAbsolut != null).AnteilRelativ | numbers | tostring</t>
  </si>
  <si>
    <t>Fokusrechtseinheit.geschaeftsJahre[].operativesErgebnis.betrag</t>
  </si>
  <si>
    <t>Operatives Ergebnis der Fokusrechtseinheit</t>
  </si>
  <si>
    <t>.WirtschaftlichBerechtigt.Standard | arrays | .[] | select(.AnteilAbsolut != null).AnteilAbsolut | numbers | tostring</t>
  </si>
  <si>
    <t>Fokusrechtseinheit.geschaeftsJahre[].operativesErgebnis.waehrung</t>
  </si>
  <si>
    <t>Währung des operativen Ergebnisses</t>
  </si>
  <si>
    <t>.WirtschaftlichBerechtigt.Standard | arrays | .[] | select(.AnteilAbsolut != null).AnteilAbsolutWaehrung | strings</t>
  </si>
  <si>
    <t>Fokusrechtseinheit.geschaeftsJahre[].mitarbeiterAnzahl</t>
  </si>
  <si>
    <t>numberOfEmployees</t>
  </si>
  <si>
    <t>xsd:Integer</t>
  </si>
  <si>
    <t>Anzahl der Mitarbeitenden der Fokusrechtseinheit</t>
  </si>
  <si>
    <t>.WirtschaftlichBerechtigt.Standard | arrays | .[] | select(.AnteilAbsolut != null).AnteilAbsolutInEuro | numbers | tostring</t>
  </si>
  <si>
    <t>Fokusrechtseinheit.geschaeftsJahre[].bilanzSumme</t>
  </si>
  <si>
    <t>balanceSheetTotal</t>
  </si>
  <si>
    <t>.WirtschaftlichBerechtigt.Standard | arrays | .[] | select(.AnteilAbsolut != null).AnteilAbsolutInEuro | numbers | "EUR"</t>
  </si>
  <si>
    <t>Fokusrechtseinheit.geschaeftsJahre[].bilanzSumme.betrag</t>
  </si>
  <si>
    <t>Bilanzumme der Fokusrechtseinheit</t>
  </si>
  <si>
    <t>(Wenn in Anteilseigner auf erster Ebene)</t>
  </si>
  <si>
    <t>Fokusrechtseinheit.geschaeftsJahre[].bilanzSumme.waehrung</t>
  </si>
  <si>
    <t>Währung der Bilanzsumme</t>
  </si>
  <si>
    <t>Fokusrechtseinheit.geschaeftsJahre[].datum</t>
  </si>
  <si>
    <t>statementDate</t>
  </si>
  <si>
    <t>Datum des Jahresabschlusses</t>
  </si>
  <si>
    <t>(Wenn direkt in Anteilseigner, dann dort auslesen in Stimmrechte)</t>
  </si>
  <si>
    <t>Fokusrechtseinheit.wirtschaftlichBerechtigte</t>
  </si>
  <si>
    <t>beneficialOwnership</t>
  </si>
  <si>
    <t>BeneficialOwnership</t>
  </si>
  <si>
    <t>(Wenn direkt in Anteilseigner, dann dort auslesen)</t>
  </si>
  <si>
    <t>Fokusrechtseinheit.wirtschaftlichBerechtigte.standard</t>
  </si>
  <si>
    <t>standard</t>
  </si>
  <si>
    <t>BeneficialOwnershipVariant</t>
  </si>
  <si>
    <t>Fokusrechtseinheit.wirtschaftlichBerechtigte.standard.kapital[]</t>
  </si>
  <si>
    <t>capitalBeneficialOwner</t>
  </si>
  <si>
    <t>BeneficialOwner</t>
  </si>
  <si>
    <t>.WirtschaftlichBerechtigt.Standard | arrays | .[] | select(.AnteilAbsolut != null).IstHighRisk | booleans</t>
  </si>
  <si>
    <t>Fokusrechtseinheit.wirtschaftlichBerechtigte.standard.kapital[].id</t>
  </si>
  <si>
    <t>Die eindeutige Kennung für die natürliche Person, die letztendlich das Unternehmen oder Rechtskonstrukt besitzt und/oder kontrolliert, das der Kunde der Bank ist, oder für die natürliche Person, in deren Auftrag eine Transaktion durchgeführt, ein Konto eröffnet oder geführt oder eine Dienstleistung erbracht wird</t>
  </si>
  <si>
    <t>.WirtschaftlichBerechtigt.Standard | arrays | .[] | select(.Stimmrechte != null).UfId | numbers | "P" +  tostring</t>
  </si>
  <si>
    <t>Fokusrechtseinheit.wirtschaftlichBerechtigte.standard.kapital[].anteil</t>
  </si>
  <si>
    <t>shareholding</t>
  </si>
  <si>
    <t>Shareholding</t>
  </si>
  <si>
    <t>Fokusrechtseinheit.wirtschaftlichBerechtigte.standard.kapital[].anteil.anteilRelativ</t>
  </si>
  <si>
    <t>relativeShare</t>
  </si>
  <si>
    <t>xsd:Decimal</t>
  </si>
  <si>
    <t>Gesamtprozentsatz der Anteile, die direkt und indirekt vom wirtschaftlich Berechtigten unter Verwendung der Dominanzmethode (wie in SoW definiert) an dem Unternehmen gehalten werden</t>
  </si>
  <si>
    <t>Fokusrechtseinheit.wirtschaftlichBerechtigte.standard.kapital[].anteil.anteilAbsolut</t>
  </si>
  <si>
    <t>absoluteShare</t>
  </si>
  <si>
    <t>Fokusrechtseinheit.wirtschaftlichBerechtigte.standard.kapital[].anteil.anteilAbsolut.betrag</t>
  </si>
  <si>
    <t>Gesamtwert der Anteile, die direkt und indirekt vom wirtschaftlich Berechtigten unter Verwendung der Dominanzmethode an dem Unternehmen gehalten werden</t>
  </si>
  <si>
    <t>Fokusrechtseinheit.wirtschaftlichBerechtigte.standard.kapital[].anteil.anteilAbsolut.waehrung</t>
  </si>
  <si>
    <t>Die Währung des Gesamtwerts der Anteile</t>
  </si>
  <si>
    <t>Fokusrechtseinheit.wirtschaftlichBerechtigte.standard.kapital[].anteil.anteilAbsolutInEUR</t>
  </si>
  <si>
    <t>Fokusrechtseinheit.wirtschaftlichBerechtigte.standard.kapital[].anteil.anteilAbsolutInEUR.betrag</t>
  </si>
  <si>
    <t>Gesamtwert der vom wirtschaftlich Berechtigten direkt und indirekt im Unternehmen gehaltenen Anteile nach der Dominanzmethode in EUR</t>
  </si>
  <si>
    <t>.WirtschaftlichBerechtigt.Standard | arrays | .[] | select(.Stimmrechte != null).Stimmrechte | numbers | tostring</t>
  </si>
  <si>
    <t>Fokusrechtseinheit.wirtschaftlichBerechtigte.standard.kapital[].anteil.anteilAbsolutInEUR.waehrung</t>
  </si>
  <si>
    <t>Die EUR-Währung des Gesamtwerts der Anteile</t>
  </si>
  <si>
    <t>Fokusrechtseinheit.wirtschaftlichBerechtigte.standard.kapital[].anteil.istDirekteBeteiligung</t>
  </si>
  <si>
    <t>isDirectParticipation</t>
  </si>
  <si>
    <t>Angabe, ob der wirtschaftlich Berechtigte ein direkter Anteilseigner ist</t>
  </si>
  <si>
    <t>Fokusrechtseinheit.wirtschaftlichBerechtigte.standard.kapital[].stimmrechteRelativ</t>
  </si>
  <si>
    <t>relativeVotingRights</t>
  </si>
  <si>
    <t>Gesamtprozentsatz der Stimmrechte am Unternehmen, die direkt oder indirekt vom wirtschaftlich Berechtigten gehalten werden</t>
  </si>
  <si>
    <t>Fokusrechtseinheit.wirtschaftlichBerechtigte.standard.kapital[].stimmrechteRelativDirekt</t>
  </si>
  <si>
    <t>relativeVotingRightsDirect</t>
  </si>
  <si>
    <t>Prozentsatz der direkten Stimmrechte am Unternehmen, die vom wirtschaftlich Berechtigten gehalten werden</t>
  </si>
  <si>
    <t>.WirtschaftlichBerechtigt.Standard | arrays | .[] | select(.Stimmrechte != null).IstHighRisk | booleans</t>
  </si>
  <si>
    <t>Fokusrechtseinheit.wirtschaftlichBerechtigte.standard.kapital[].anteilRelativDirekt</t>
  </si>
  <si>
    <t>relativeShareDirect</t>
  </si>
  <si>
    <t>Prozentsatz der direkten Anteile am Unternehmen, die vom wirtschaftlich Berechtigten gehalten werden</t>
  </si>
  <si>
    <t>.WirtschaftlichBerechtigt.Standard | arrays | .[] | select(.SonstigeKontrolle != null).UfId | numbers | "P" +  tostring</t>
  </si>
  <si>
    <t>Fokusrechtseinheit.wirtschaftlichBerechtigte.standard.kapital[].sonstigeKontrolleGrund</t>
  </si>
  <si>
    <t>otherControlReason</t>
  </si>
  <si>
    <t>Grund für sonstige Kontrolle des wirtschaftlich Berechtigten</t>
  </si>
  <si>
    <t>Fokusrechtseinheit.wirtschaftlichBerechtigte.standard.kapital[].istHighRisk</t>
  </si>
  <si>
    <t>isHighRisk</t>
  </si>
  <si>
    <t>Angabe, ob der wirtschaftlich Berechtigte einen hohen Risikostatus hat</t>
  </si>
  <si>
    <t>Fokusrechtseinheit.wirtschaftlichBerechtigte.standard.stimmrechte[]</t>
  </si>
  <si>
    <t>votingRightsBeneficialOwner</t>
  </si>
  <si>
    <t>Fokusrechtseinheit.wirtschaftlichBerechtigte.standard.stimmrechte[].id</t>
  </si>
  <si>
    <t>Fokusrechtseinheit.wirtschaftlichBerechtigte.standard.stimmrechte[].anteil</t>
  </si>
  <si>
    <t>Fokusrechtseinheit.wirtschaftlichBerechtigte.standard.stimmrechte[].anteil.anteilRelativ</t>
  </si>
  <si>
    <t>Fokusrechtseinheit.wirtschaftlichBerechtigte.standard.stimmrechte[].anteil.anteilAbsolut</t>
  </si>
  <si>
    <t>Fokusrechtseinheit.wirtschaftlichBerechtigte.standard.stimmrechte[].anteil.anteilAbsolut.betrag</t>
  </si>
  <si>
    <t>Gesamtwert der Anteile, die direkt und indirekt vom wirtschaftlich Brechtigten unter Verwendung der Dominanzmethode an dem Unternehmen gehalten werden</t>
  </si>
  <si>
    <t>Fokusrechtseinheit.wirtschaftlichBerechtigte.standard.stimmrechte[].anteil.anteilAbsolut.waehrung</t>
  </si>
  <si>
    <t>Fokusrechtseinheit.wirtschaftlichBerechtigte.standard.stimmrechte[].anteil.anteilAbsolutInEUR</t>
  </si>
  <si>
    <t>.WirtschaftlichBerechtigt.Standard | arrays | .[] | select(.SonstigeKontrolle != null).SonstigeKontrolle | strings</t>
  </si>
  <si>
    <t>Fokusrechtseinheit.wirtschaftlichBerechtigte.standard.stimmrechte[].anteil.anteilAbsolutInEUR.betrag</t>
  </si>
  <si>
    <t>Gesamtwert der vom wirtschaftlich Berechtigten direkt und indirekt an dem Unternehmen gehaltenen Anteilen nach der Dominanzmethode (wie in SoW definiert) in EUR</t>
  </si>
  <si>
    <t>.WirtschaftlichBerechtigt.Standard | arrays | .[] | select(.SonstigeKontrolle != null).IstHighRisk | booleans</t>
  </si>
  <si>
    <t>Fokusrechtseinheit.wirtschaftlichBerechtigte.standard.stimmrechte[].anteil.anteilAbsolutInEUR.waehrung</t>
  </si>
  <si>
    <t>select(.MetaInformationen.HierarchieNichtPruefbar==false) | .WirtschaftlichBerechtigt.Standard | arrays | .[] | select(.IstFiktiv==true).UfId | numbers | "P" +  tostring</t>
  </si>
  <si>
    <t>Fokusrechtseinheit.wirtschaftlichBerechtigte.standard.stimmrechte[].anteil.istDirekteBeteiligung</t>
  </si>
  <si>
    <t>Angabe, ob der wirtschaftlich Berechtigte ein direkter Aktionär ist</t>
  </si>
  <si>
    <t>Fokusrechtseinheit.wirtschaftlichBerechtigte.standard.stimmrechte[].stimmrechteRelativ</t>
  </si>
  <si>
    <t>Fokusrechtseinheit.wirtschaftlichBerechtigte.standard.stimmrechte[].stimmrechteRelativDirekt</t>
  </si>
  <si>
    <t>Fokusrechtseinheit.wirtschaftlichBerechtigte.standard.stimmrechte[].anteilRelativDirekt</t>
  </si>
  <si>
    <t>Fokusrechtseinheit.wirtschaftlichBerechtigte.standard.stimmrechte[].sonstigeKontrolleGrund</t>
  </si>
  <si>
    <t>Fokusrechtseinheit.wirtschaftlichBerechtigte.standard.stimmrechte[].istHighRisk</t>
  </si>
  <si>
    <t>Fokusrechtseinheit.wirtschaftlichBerechtigte.standard.sonstigeKontrolle[]</t>
  </si>
  <si>
    <t>otherControlBeneficialOwner</t>
  </si>
  <si>
    <t>Fokusrechtseinheit.wirtschaftlichBerechtigte.standard.sonstigeKontrolle[].id</t>
  </si>
  <si>
    <t>Fokusrechtseinheit.wirtschaftlichBerechtigte.standard.sonstigeKontrolle[].anteil</t>
  </si>
  <si>
    <t>Fokusrechtseinheit.wirtschaftlichBerechtigte.standard.sonstigeKontrolle[].anteil.anteilRelativ</t>
  </si>
  <si>
    <t>Gesamtprozentsatz der Anteile, die direkt und indirekt vom wirtschaftlich Berechtigten unter Verwendung der Dominanzmethode  an dem Unternehmen gehalten werden</t>
  </si>
  <si>
    <t>Fokusrechtseinheit.wirtschaftlichBerechtigte.standard.sonstigeKontrolle[].anteil.anteilAbsolut</t>
  </si>
  <si>
    <t>select(.MetaInformationen.HierarchieNichtPruefbar==false) | .WirtschaftlichBerechtigt.Standard | arrays | .[] | select(.IstFiktiv==true).IstHighRisk | booleans</t>
  </si>
  <si>
    <t>Fokusrechtseinheit.wirtschaftlichBerechtigte.standard.sonstigeKontrolle[].anteil.anteilAbsolut.betrag</t>
  </si>
  <si>
    <t>Fokusrechtseinheit.wirtschaftlichBerechtigte.standard.sonstigeKontrolle[].anteil.anteilAbsolut.waehrung</t>
  </si>
  <si>
    <t>Fokusrechtseinheit.wirtschaftlichBerechtigte.standard.sonstigeKontrolle[].anteil.anteilAbsolutInEUR</t>
  </si>
  <si>
    <t>Fokusrechtseinheit.wirtschaftlichBerechtigte.standard.sonstigeKontrolle[].anteil.anteilAbsolutInEUR.betrag</t>
  </si>
  <si>
    <t>Gesamtwert der vom wirtschaftlich Berechtigten direkt und indirekt an dem Unternehmen gehaltenen Anteile nach der Dominanzmethode in EUR</t>
  </si>
  <si>
    <t>Fokusrechtseinheit.wirtschaftlichBerechtigte.standard.sonstigeKontrolle[].anteil.anteilAbsolutInEUR.waehrung</t>
  </si>
  <si>
    <t>Fokusrechtseinheit.wirtschaftlichBerechtigte.standard.sonstigeKontrolle[].anteil.istDirekteBeteiligung</t>
  </si>
  <si>
    <t>Fokusrechtseinheit.wirtschaftlichBerechtigte.standard.sonstigeKontrolle[].stimmrechteRelativ</t>
  </si>
  <si>
    <t>Fokusrechtseinheit.wirtschaftlichBerechtigte.standard.sonstigeKontrolle[].stimmrechteRelativDirekt</t>
  </si>
  <si>
    <t>Fokusrechtseinheit.wirtschaftlichBerechtigte.standard.sonstigeKontrolle[].anteilRelativDirekt</t>
  </si>
  <si>
    <t>Fokusrechtseinheit.wirtschaftlichBerechtigte.standard.sonstigeKontrolle[].sonstigeKontrolleGrund</t>
  </si>
  <si>
    <t>Grund für sonstige Kontrolle des wirtschaftliche Berechtigten</t>
  </si>
  <si>
    <t>Fokusrechtseinheit.wirtschaftlichBerechtigte.standard.sonstigeKontrolle[].istHighRisk</t>
  </si>
  <si>
    <t>Fokusrechtseinheit.wirtschaftlichBerechtigte.standard.fiktiv[]</t>
  </si>
  <si>
    <t>fictitiousBeneficialOwner</t>
  </si>
  <si>
    <t>Fokusrechtseinheit.wirtschaftlichBerechtigte.standard.fiktiv[].id</t>
  </si>
  <si>
    <t>Fokusrechtseinheit.wirtschaftlichBerechtigte.standard.fiktiv[].anteil</t>
  </si>
  <si>
    <t>Fokusrechtseinheit.wirtschaftlichBerechtigte.standard.fiktiv[].anteil.anteilRelativ</t>
  </si>
  <si>
    <t>Gesamtprozentsatz der Anteile, die direkt und indirekt vom wirtschaftlich Berechtigten unter Verwendung der Dominanzmethode an dem Unternehmen gehalten werden</t>
  </si>
  <si>
    <t>Fokusrechtseinheit.wirtschaftlichBerechtigte.standard.fiktiv[].anteil.anteilAbsolut</t>
  </si>
  <si>
    <t>Fokusrechtseinheit.wirtschaftlichBerechtigte.standard.fiktiv[].anteil.anteilAbsolut.betrag</t>
  </si>
  <si>
    <t>Fokusrechtseinheit.wirtschaftlichBerechtigte.standard.fiktiv[].anteil.anteilAbsolut.waehrung</t>
  </si>
  <si>
    <t>Fokusrechtseinheit.wirtschaftlichBerechtigte.standard.fiktiv[].anteil.anteilAbsolutInEUR</t>
  </si>
  <si>
    <t>Fokusrechtseinheit.wirtschaftlichBerechtigte.standard.fiktiv[].anteil.anteilAbsolutInEUR.betrag</t>
  </si>
  <si>
    <t>Gesamtwert der vom wirtschaftlich Berechtigten direkt und indirekt an dem Unternehmen gehaltenen Anteilen nach der Dominanzmethode in EUR</t>
  </si>
  <si>
    <t>Fokusrechtseinheit.wirtschaftlichBerechtigte.standard.fiktiv[].anteil.anteilAbsolutInEUR.waehrung</t>
  </si>
  <si>
    <t>Fokusrechtseinheit.wirtschaftlichBerechtigte.standard.fiktiv[].anteil.istDirekteBeteiligung</t>
  </si>
  <si>
    <t>Fokusrechtseinheit.wirtschaftlichBerechtigte.standard.fiktiv[].stimmrechteRelativ</t>
  </si>
  <si>
    <t>Fokusrechtseinheit.wirtschaftlichBerechtigte.standard.fiktiv[].stimmrechteRelativDirekt</t>
  </si>
  <si>
    <t>Fokusrechtseinheit.wirtschaftlichBerechtigte.standard.fiktiv[].anteilRelativDirekt</t>
  </si>
  <si>
    <t>Fokusrechtseinheit.wirtschaftlichBerechtigte.standard.fiktiv[].sonstigeKontrolleGrund</t>
  </si>
  <si>
    <t>Fokusrechtseinheit.wirtschaftlichBerechtigte.standard.fiktiv[].istHighRisk</t>
  </si>
  <si>
    <t>Fokusrechtseinheit.wirtschaftlichBerechtigte.cdd</t>
  </si>
  <si>
    <t>cdd</t>
  </si>
  <si>
    <t>Fokusrechtseinheit.wirtschaftlichBerechtigte.cdd.kapital[]</t>
  </si>
  <si>
    <t>Fokusrechtseinheit.wirtschaftlichBerechtigte.cdd.kapital[].id</t>
  </si>
  <si>
    <t>Fokusrechtseinheit.wirtschaftlichBerechtigte.cdd.kapital[].anteil</t>
  </si>
  <si>
    <t>Fokusrechtseinheit.wirtschaftlichBerechtigte.cdd.kapital[].anteil.anteilRelativ</t>
  </si>
  <si>
    <t>Fokusrechtseinheit.wirtschaftlichBerechtigte.cdd.kapital[].anteil.anteilAbsolut</t>
  </si>
  <si>
    <t>Fokusrechtseinheit.wirtschaftlichBerechtigte.cdd.kapital[].anteil.anteilAbsolut.betrag</t>
  </si>
  <si>
    <t>Fokusrechtseinheit.wirtschaftlichBerechtigte.cdd.kapital[].anteil.anteilAbsolut.waehrung</t>
  </si>
  <si>
    <t>Fokusrechtseinheit.wirtschaftlichBerechtigte.cdd.kapital[].anteil.anteilAbsolutInEUR</t>
  </si>
  <si>
    <t>Fokusrechtseinheit.wirtschaftlichBerechtigte.cdd.kapital[].anteil.anteilAbsolutInEUR.betrag</t>
  </si>
  <si>
    <t>Gesamtwert der vom wirtschaftlich Berechtigten direkt und indirekt am Unternehmen gehaltenen Anteile nach der Dominanzmethode in EUR</t>
  </si>
  <si>
    <t>WirtschaftlichBerechtigt.Standard | arrays | .[] | select(.IstFiktiv==true).UfId | numbers | "P" +  tostring</t>
  </si>
  <si>
    <t>Fokusrechtseinheit.wirtschaftlichBerechtigte.cdd.kapital[].anteil.anteilAbsolutInEUR.waehrung</t>
  </si>
  <si>
    <t>Fokusrechtseinheit.wirtschaftlichBerechtigte.cdd.kapital[].anteil.istDirekteBeteiligung</t>
  </si>
  <si>
    <t>Fokusrechtseinheit.wirtschaftlichBerechtigte.cdd.kapital[].stimmrechteRelativ</t>
  </si>
  <si>
    <t>Fokusrechtseinheit.wirtschaftlichBerechtigte.cdd.kapital[].stimmrechteRelativDirekt</t>
  </si>
  <si>
    <t>Fokusrechtseinheit.wirtschaftlichBerechtigte.cdd.kapital[].anteilRelativDirekt</t>
  </si>
  <si>
    <t>Fokusrechtseinheit.wirtschaftlichBerechtigte.cdd.kapital[].sonstigeKontrolleGrund</t>
  </si>
  <si>
    <t>Fokusrechtseinheit.wirtschaftlichBerechtigte.cdd.kapital[].istHighRisk</t>
  </si>
  <si>
    <t>Fokusrechtseinheit.wirtschaftlichBerechtigte.cdd.stimmrechte[]</t>
  </si>
  <si>
    <t>Fokusrechtseinheit.wirtschaftlichBerechtigte.cdd.stimmrechte[].id</t>
  </si>
  <si>
    <t>Fokusrechtseinheit.wirtschaftlichBerechtigte.cdd.stimmrechte[].anteil</t>
  </si>
  <si>
    <t>Fokusrechtseinheit.wirtschaftlichBerechtigte.cdd.stimmrechte[].anteil.anteilRelativ</t>
  </si>
  <si>
    <t>.WirtschaftlichBerechtigt.Standard | arrays | .[] | select(.IstFiktiv==true).IstHighRisk | booleans</t>
  </si>
  <si>
    <t>Fokusrechtseinheit.wirtschaftlichBerechtigte.cdd.stimmrechte[].anteil.anteilAbsolut</t>
  </si>
  <si>
    <t>.WirtschaftlichBerechtigt.Acc10 | arrays | .[] | select(.AnteilAkkumuliert != null).UfId | numbers | "P" +  tostring</t>
  </si>
  <si>
    <t>Fokusrechtseinheit.wirtschaftlichBerechtigte.cdd.stimmrechte[].anteil.anteilAbsolut.betrag</t>
  </si>
  <si>
    <t>.WirtschaftlichBerechtigt.Acc10 | arrays | .[] | select(.AnteilAkkumuliert != null).AnteilAkkumuliert | numbers | tostring</t>
  </si>
  <si>
    <t>Fokusrechtseinheit.wirtschaftlichBerechtigte.cdd.stimmrechte[].anteil.anteilAbsolut.waehrung</t>
  </si>
  <si>
    <t>Fokusrechtseinheit.wirtschaftlichBerechtigte.cdd.stimmrechte[].anteil.anteilAbsolutInEUR</t>
  </si>
  <si>
    <t>Fokusrechtseinheit.wirtschaftlichBerechtigte.cdd.stimmrechte[].anteil.anteilAbsolutInEUR.betrag</t>
  </si>
  <si>
    <t>Gesamtwert der vom wirtschaftlich Berechtigten direkt und indirekt an dem Unternehmen gehaltenen Anteile nach der Dominanzmethode (wie in SoW definiert) in EUR</t>
  </si>
  <si>
    <t>Fokusrechtseinheit.wirtschaftlichBerechtigte.cdd.stimmrechte[].anteil.anteilAbsolutInEUR.waehrung</t>
  </si>
  <si>
    <t>Fokusrechtseinheit.wirtschaftlichBerechtigte.cdd.stimmrechte[].anteil.istDirekteBeteiligung</t>
  </si>
  <si>
    <t>Fokusrechtseinheit.wirtschaftlichBerechtigte.cdd.stimmrechte[].stimmrechteRelativ</t>
  </si>
  <si>
    <t>Fokusrechtseinheit.wirtschaftlichBerechtigte.cdd.stimmrechte[].stimmrechteRelativDirekt</t>
  </si>
  <si>
    <t>Fokusrechtseinheit.wirtschaftlichBerechtigte.cdd.stimmrechte[].anteilRelativDirekt</t>
  </si>
  <si>
    <t>Fokusrechtseinheit.wirtschaftlichBerechtigte.cdd.stimmrechte[].sonstigeKontrolleGrund</t>
  </si>
  <si>
    <t>Fokusrechtseinheit.wirtschaftlichBerechtigte.cdd.stimmrechte[].istHighRisk</t>
  </si>
  <si>
    <t>.WirtschaftlichBerechtigt.Acc10 | arrays | .[] | select(.AnteilAkkumuliert != null).IstHighRisk | booleans</t>
  </si>
  <si>
    <t>Fokusrechtseinheit.wirtschaftlichBerechtigte.cdd.sonstigeKontrolle[]</t>
  </si>
  <si>
    <t>.WirtschaftlichBerechtigt.Acc10 | arrays | .[] | select(.StimmrechteAkkumuliert != null).UfId | numbers | "P" +  tostring</t>
  </si>
  <si>
    <t>Fokusrechtseinheit.wirtschaftlichBerechtigte.cdd.sonstigeKontrolle[].id</t>
  </si>
  <si>
    <t>Fokusrechtseinheit.wirtschaftlichBerechtigte.cdd.sonstigeKontrolle[].anteil</t>
  </si>
  <si>
    <t>Fokusrechtseinheit.wirtschaftlichBerechtigte.cdd.sonstigeKontrolle[].anteil.anteilRelativ</t>
  </si>
  <si>
    <t>Fokusrechtseinheit.wirtschaftlichBerechtigte.cdd.sonstigeKontrolle[].anteil.anteilAbsolut</t>
  </si>
  <si>
    <t>Fokusrechtseinheit.wirtschaftlichBerechtigte.cdd.sonstigeKontrolle[].anteil.anteilAbsolut.betrag</t>
  </si>
  <si>
    <t>Fokusrechtseinheit.wirtschaftlichBerechtigte.cdd.sonstigeKontrolle[].anteil.anteilAbsolut.waehrung</t>
  </si>
  <si>
    <t>Fokusrechtseinheit.wirtschaftlichBerechtigte.cdd.sonstigeKontrolle[].anteil.anteilAbsolutInEUR</t>
  </si>
  <si>
    <t>.WirtschaftlichBerechtigt.Acc10 | arrays | .[] | select(.StimmrechteAkkumuliert != null).StimmrechteAkkumuliert | numbers | tostring</t>
  </si>
  <si>
    <t>Fokusrechtseinheit.wirtschaftlichBerechtigte.cdd.sonstigeKontrolle[].anteil.anteilAbsolutInEUR.betrag</t>
  </si>
  <si>
    <t>Fokusrechtseinheit.wirtschaftlichBerechtigte.cdd.sonstigeKontrolle[].anteil.anteilAbsolutInEUR.waehrung</t>
  </si>
  <si>
    <t>Fokusrechtseinheit.wirtschaftlichBerechtigte.cdd.sonstigeKontrolle[].anteil.istDirekteBeteiligung</t>
  </si>
  <si>
    <t>Fokusrechtseinheit.wirtschaftlichBerechtigte.cdd.sonstigeKontrolle[].stimmrechteRelativ</t>
  </si>
  <si>
    <t>.WirtschaftlichBerechtigt.Acc10 | arrays | .[] | select(.StimmrechteAkkumuliert != null).IstHighRisk | booleans</t>
  </si>
  <si>
    <t>Fokusrechtseinheit.wirtschaftlichBerechtigte.cdd.sonstigeKontrolle[].stimmrechteRelativDirekt</t>
  </si>
  <si>
    <t>Fokusrechtseinheit.wirtschaftlichBerechtigte.cdd.sonstigeKontrolle[].anteilRelativDirekt</t>
  </si>
  <si>
    <t>Fokusrechtseinheit.wirtschaftlichBerechtigte.cdd.sonstigeKontrolle[].sonstigeKontrolleGrund</t>
  </si>
  <si>
    <t>Fokusrechtseinheit.wirtschaftlichBerechtigte.cdd.sonstigeKontrolle[].istHighRisk</t>
  </si>
  <si>
    <t>Fokusrechtseinheit.wirtschaftlichBerechtigte.cdd.fiktiv[]</t>
  </si>
  <si>
    <t>Fokusrechtseinheit.wirtschaftlichBerechtigte.cdd.fiktiv[].id</t>
  </si>
  <si>
    <t>Fokusrechtseinheit.wirtschaftlichBerechtigte.cdd.fiktiv[].anteil</t>
  </si>
  <si>
    <t>Fokusrechtseinheit.wirtschaftlichBerechtigte.cdd.fiktiv[].anteil.anteilRelativ</t>
  </si>
  <si>
    <t>Fokusrechtseinheit.wirtschaftlichBerechtigte.cdd.fiktiv[].anteil.anteilAbsolut</t>
  </si>
  <si>
    <t>Fokusrechtseinheit.wirtschaftlichBerechtigte.cdd.fiktiv[].anteil.anteilAbsolut.betrag</t>
  </si>
  <si>
    <t>Fokusrechtseinheit.wirtschaftlichBerechtigte.cdd.fiktiv[].anteil.anteilAbsolut.waehrung</t>
  </si>
  <si>
    <t>Fokusrechtseinheit.wirtschaftlichBerechtigte.cdd.fiktiv[].anteil.anteilAbsolutInEUR</t>
  </si>
  <si>
    <t>Fokusrechtseinheit.wirtschaftlichBerechtigte.cdd.fiktiv[].anteil.anteilAbsolutInEUR.betrag</t>
  </si>
  <si>
    <t>select(.MetaInformationen.HierarchieNichtPruefbar==false) | .WirtschaftlichBerechtigt.Acc10 | arrays | .[] | select(.IstFiktiv==true).UfId | numbers | "P" +  tostring</t>
  </si>
  <si>
    <t>Fokusrechtseinheit.wirtschaftlichBerechtigte.cdd.fiktiv[].anteil.anteilAbsolutInEUR.waehrung</t>
  </si>
  <si>
    <t>Fokusrechtseinheit.wirtschaftlichBerechtigte.cdd.fiktiv[].anteil.istDirekteBeteiligung</t>
  </si>
  <si>
    <t>Fokusrechtseinheit.wirtschaftlichBerechtigte.cdd.fiktiv[].stimmrechteRelativ</t>
  </si>
  <si>
    <t>Fokusrechtseinheit.wirtschaftlichBerechtigte.cdd.fiktiv[].stimmrechteRelativDirekt</t>
  </si>
  <si>
    <t>Fokusrechtseinheit.wirtschaftlichBerechtigte.cdd.fiktiv[].anteilRelativDirekt</t>
  </si>
  <si>
    <t>Fokusrechtseinheit.wirtschaftlichBerechtigte.cdd.fiktiv[].sonstigeKontrolleGrund</t>
  </si>
  <si>
    <t>Fokusrechtseinheit.wirtschaftlichBerechtigte.cdd.fiktiv[].istHighRisk</t>
  </si>
  <si>
    <t>Fokusrechtseinheit.wirtschaftlichBerechtigte.accG10</t>
  </si>
  <si>
    <t>accG10</t>
  </si>
  <si>
    <t>Fokusrechtseinheit.wirtschaftlichBerechtigte.accG10.kapital[]</t>
  </si>
  <si>
    <t>Fokusrechtseinheit.wirtschaftlichBerechtigte.accG10.kapital[].id</t>
  </si>
  <si>
    <t>Fokusrechtseinheit.wirtschaftlichBerechtigte.accG10.kapital[].anteil</t>
  </si>
  <si>
    <t>select(.MetaInformationen.HierarchieNichtPruefbar==false) | .WirtschaftlichBerechtigt.Acc10 | arrays | .[] | select(.IstFiktiv==true).IstHighRisk | booleans</t>
  </si>
  <si>
    <t>Fokusrechtseinheit.wirtschaftlichBerechtigte.accG10.kapital[].anteil.anteilRelativ</t>
  </si>
  <si>
    <t>Gesamtprozentsatz der Anteile, die direkt und indirekt vom wirtschaftlich Berechtigten unter Verwendung der Akkumulationsmethode an dem Unternehmen gehalten werden</t>
  </si>
  <si>
    <t>.WirtschaftlichBerechtigt.Acc25 | arrays | .[] | select(.AnteilAkkumuliert != null).UfId | numbers | "P" +  tostring</t>
  </si>
  <si>
    <t>Fokusrechtseinheit.wirtschaftlichBerechtigte.accG10.kapital[].anteil.anteilAbsolut</t>
  </si>
  <si>
    <t>.WirtschaftlichBerechtigt.Acc25 | arrays | .[] | select(.AnteilAkkumuliert != null).AnteilAkkumuliert | numbers | "P" +  tostring</t>
  </si>
  <si>
    <t>Fokusrechtseinheit.wirtschaftlichBerechtigte.accG10.kapital[].anteil.anteilAbsolut.betrag</t>
  </si>
  <si>
    <t>Gesamtwert der Anteile, die direkt und indirekt vom wirtschaftlich Berechtigten unter Verwendung der Akkumulationsmethode an dem Unternehmen gehalten werden</t>
  </si>
  <si>
    <t>Fokusrechtseinheit.wirtschaftlichBerechtigte.accG10.kapital[].anteil.anteilAbsolut.waehrung</t>
  </si>
  <si>
    <t>Fokusrechtseinheit.wirtschaftlichBerechtigte.accG10.kapital[].anteil.anteilAbsolutInEUR</t>
  </si>
  <si>
    <t>Fokusrechtseinheit.wirtschaftlichBerechtigte.accG10.kapital[].anteil.anteilAbsolutInEUR.betrag</t>
  </si>
  <si>
    <t>Gesamtwert der vom wirtschaftlich Berechtigten direkt und indirekt am Unternehmen gehaltenen Anteile nach der Akkumulationsmethode in EUR</t>
  </si>
  <si>
    <t>Fokusrechtseinheit.wirtschaftlichBerechtigte.accG10.kapital[].anteil.anteilAbsolutInEUR.waehrung</t>
  </si>
  <si>
    <t>Fokusrechtseinheit.wirtschaftlichBerechtigte.accG10.kapital[].anteil.istDirekteBeteiligung</t>
  </si>
  <si>
    <t>Fokusrechtseinheit.wirtschaftlichBerechtigte.accG10.kapital[].stimmrechteRelativ</t>
  </si>
  <si>
    <t>Fokusrechtseinheit.wirtschaftlichBerechtigte.accG10.kapital[].stimmrechteRelativDirekt</t>
  </si>
  <si>
    <t>Fokusrechtseinheit.wirtschaftlichBerechtigte.accG10.kapital[].anteilRelativDirekt</t>
  </si>
  <si>
    <t>Fokusrechtseinheit.wirtschaftlichBerechtigte.accG10.kapital[].sonstigeKontrolleGrund</t>
  </si>
  <si>
    <t>.WirtschaftlichBerechtigt.Acc25 | arrays | .[] | select(.AnteilAkkumuliert != null).IstHighRisk | booleans</t>
  </si>
  <si>
    <t>Fokusrechtseinheit.wirtschaftlichBerechtigte.accG10.kapital[].istHighRisk</t>
  </si>
  <si>
    <t>.WirtschaftlichBerechtigt.Acc25 | arrays | .[] | select(.StimmrechteAkkumuliert != null).UfId | numbers | "P" +  tostring</t>
  </si>
  <si>
    <t>Fokusrechtseinheit.wirtschaftlichBerechtigte.accG10.stimmrechte[]</t>
  </si>
  <si>
    <t>Fokusrechtseinheit.wirtschaftlichBerechtigte.accG10.stimmrechte[].id</t>
  </si>
  <si>
    <t>Fokusrechtseinheit.wirtschaftlichBerechtigte.accG10.stimmrechte[].anteil</t>
  </si>
  <si>
    <t>Fokusrechtseinheit.wirtschaftlichBerechtigte.accG10.stimmrechte[].anteil.anteilRelativ</t>
  </si>
  <si>
    <t>Gesamtprozentsatz der Anteile, die direkt und indirekt vom wirtschaftlich Berechtigten unter Verwendung der Akkumulationsmethode (wie in SoW definiert) an dem Unternehmen gehalten werden</t>
  </si>
  <si>
    <t>Fokusrechtseinheit.wirtschaftlichBerechtigte.accG10.stimmrechte[].anteil.anteilAbsolut</t>
  </si>
  <si>
    <t>Fokusrechtseinheit.wirtschaftlichBerechtigte.accG10.stimmrechte[].anteil.anteilAbsolut.betrag</t>
  </si>
  <si>
    <t>Fokusrechtseinheit.wirtschaftlichBerechtigte.accG10.stimmrechte[].anteil.anteilAbsolut.waehrung</t>
  </si>
  <si>
    <t>.WirtschaftlichBerechtigt.Acc25 | arrays | .[] | select(.StimmrechteAkkumuliert != null).StimmrechteAkkumuliert | numbers | tostring</t>
  </si>
  <si>
    <t>Fokusrechtseinheit.wirtschaftlichBerechtigte.accG10.stimmrechte[].anteil.anteilAbsolutInEUR</t>
  </si>
  <si>
    <t>Fokusrechtseinheit.wirtschaftlichBerechtigte.accG10.stimmrechte[].anteil.anteilAbsolutInEUR.betrag</t>
  </si>
  <si>
    <t>Gesamtwert der vom wirtschaftlich Berechtigten direkt und indirekt an dem Unternehmen gehaltenen Anteilen nach der Akkumulationsmethode (wie in SoW definiert) in EUR</t>
  </si>
  <si>
    <t>Fokusrechtseinheit.wirtschaftlichBerechtigte.accG10.stimmrechte[].anteil.anteilAbsolutInEUR.waehrung</t>
  </si>
  <si>
    <t>Fokusrechtseinheit.wirtschaftlichBerechtigte.accG10.stimmrechte[].anteil.istDirekteBeteiligung</t>
  </si>
  <si>
    <t>.WirtschaftlichBerechtigt.Acc25 | arrays | .[] | select(.StimmrechteAkkumuliert != null).IstHighRisk | booleans</t>
  </si>
  <si>
    <t>Fokusrechtseinheit.wirtschaftlichBerechtigte.accG10.stimmrechte[].stimmrechteRelativ</t>
  </si>
  <si>
    <t>Fokusrechtseinheit.wirtschaftlichBerechtigte.accG10.stimmrechte[].stimmrechteRelativDirekt</t>
  </si>
  <si>
    <t>Fokusrechtseinheit.wirtschaftlichBerechtigte.accG10.stimmrechte[].anteilRelativDirekt</t>
  </si>
  <si>
    <t>Fokusrechtseinheit.wirtschaftlichBerechtigte.accG10.stimmrechte[].sonstigeKontrolleGrund</t>
  </si>
  <si>
    <t>Fokusrechtseinheit.wirtschaftlichBerechtigte.accG10.stimmrechte[].istHighRisk</t>
  </si>
  <si>
    <t>Fokusrechtseinheit.wirtschaftlichBerechtigte.accG10.sonstigeKontrolle[]</t>
  </si>
  <si>
    <t>Fokusrechtseinheit.wirtschaftlichBerechtigte.accG10.sonstigeKontrolle[].id</t>
  </si>
  <si>
    <t>Fokusrechtseinheit.wirtschaftlichBerechtigte.accG10.sonstigeKontrolle[].anteil</t>
  </si>
  <si>
    <t>Fokusrechtseinheit.wirtschaftlichBerechtigte.accG10.sonstigeKontrolle[].anteil.anteilRelativ</t>
  </si>
  <si>
    <t>Fokusrechtseinheit.wirtschaftlichBerechtigte.accG10.sonstigeKontrolle[].anteil.anteilAbsolut</t>
  </si>
  <si>
    <t>Fokusrechtseinheit.wirtschaftlichBerechtigte.accG10.sonstigeKontrolle[].anteil.anteilAbsolut.betrag</t>
  </si>
  <si>
    <t>Fokusrechtseinheit.wirtschaftlichBerechtigte.accG10.sonstigeKontrolle[].anteil.anteilAbsolut.waehrung</t>
  </si>
  <si>
    <t>Fokusrechtseinheit.wirtschaftlichBerechtigte.accG10.sonstigeKontrolle[].anteil.anteilAbsolutInEUR</t>
  </si>
  <si>
    <t>select(.MetaInformationen.HierarchieNichtPruefbar==false) | .WirtschaftlichBerechtigt.Acc25 | arrays | .[] | select(.IstFiktiv==true).UfId | numbers | "P" +  tostring</t>
  </si>
  <si>
    <t>Fokusrechtseinheit.wirtschaftlichBerechtigte.accG10.sonstigeKontrolle[].anteil.anteilAbsolutInEUR.betrag</t>
  </si>
  <si>
    <t>Gesamtwert der vom wirtschaftlich Berechtigten direkt und indirekt an dem Unternehmen gehaltenen Anteile nach der Akkumulationsmethode in EUR</t>
  </si>
  <si>
    <t>Fokusrechtseinheit.wirtschaftlichBerechtigte.accG10.sonstigeKontrolle[].anteil.anteilAbsolutInEUR.waehrung</t>
  </si>
  <si>
    <t>Fokusrechtseinheit.wirtschaftlichBerechtigte.accG10.sonstigeKontrolle[].anteil.istDirekteBeteiligung</t>
  </si>
  <si>
    <t>Fokusrechtseinheit.wirtschaftlichBerechtigte.accG10.sonstigeKontrolle[].stimmrechteRelativ</t>
  </si>
  <si>
    <t>Fokusrechtseinheit.wirtschaftlichBerechtigte.accG10.sonstigeKontrolle[].stimmrechteRelativDirekt</t>
  </si>
  <si>
    <t>Fokusrechtseinheit.wirtschaftlichBerechtigte.accG10.sonstigeKontrolle[].anteilRelativDirekt</t>
  </si>
  <si>
    <t>Fokusrechtseinheit.wirtschaftlichBerechtigte.accG10.sonstigeKontrolle[].sonstigeKontrolleGrund</t>
  </si>
  <si>
    <t>Fokusrechtseinheit.wirtschaftlichBerechtigte.accG10.sonstigeKontrolle[].istHighRisk</t>
  </si>
  <si>
    <t>Fokusrechtseinheit.wirtschaftlichBerechtigte.accG10.fiktiv[]</t>
  </si>
  <si>
    <t>Fokusrechtseinheit.wirtschaftlichBerechtigte.accG10.fiktiv[].id</t>
  </si>
  <si>
    <t>Fokusrechtseinheit.wirtschaftlichBerechtigte.accG10.fiktiv[].anteil</t>
  </si>
  <si>
    <t>select(.MetaInformationen.HierarchieNichtPruefbar==false) | .WirtschaftlichBerechtigt.Acc25 | arrays | .[] | select(.IstFiktiv==true).IstHighRisk | booleans</t>
  </si>
  <si>
    <t>Fokusrechtseinheit.wirtschaftlichBerechtigte.accG10.fiktiv[].anteil.anteilRelativ</t>
  </si>
  <si>
    <t>.WirtschaftlichBerechtigt.Dom10 | arrays | .[] | select(.AnteilAbsolut != null).UfId | numbers | "P" +  tostring</t>
  </si>
  <si>
    <t>Fokusrechtseinheit.wirtschaftlichBerechtigte.accG10.fiktiv[].anteil.anteilAbsolut</t>
  </si>
  <si>
    <t>.WirtschaftlichBerechtigt.Dom10 | arrays | .[] | select(.AnteilAbsolut != null).AnteilRelativ | numbers | tostring</t>
  </si>
  <si>
    <t>Fokusrechtseinheit.wirtschaftlichBerechtigte.accG10.fiktiv[].anteil.anteilAbsolut.betrag</t>
  </si>
  <si>
    <t>.WirtschaftlichBerechtigt.Dom10 | arrays | .[] | select(.AnteilAbsolut != null).AnteilAbsolut | numbers | tostring</t>
  </si>
  <si>
    <t>Fokusrechtseinheit.wirtschaftlichBerechtigte.accG10.fiktiv[].anteil.anteilAbsolut.waehrung</t>
  </si>
  <si>
    <t>.WirtschaftlichBerechtigt.Dom10 | arrays | .[] | select(.AnteilAbsolut != null).AnteilAbsolutWaehrung | strings</t>
  </si>
  <si>
    <t>Fokusrechtseinheit.wirtschaftlichBerechtigte.accG10.fiktiv[].anteil.anteilAbsolutInEUR</t>
  </si>
  <si>
    <t>.WirtschaftlichBerechtigt.Dom10 | arrays | .[] | select(.AnteilAbsolut != null).AnteilAbsolutInEuro | numbers | tostring</t>
  </si>
  <si>
    <t>Fokusrechtseinheit.wirtschaftlichBerechtigte.accG10.fiktiv[].anteil.anteilAbsolutInEUR.betrag</t>
  </si>
  <si>
    <t>Gesamtwert der vom wirtschaftlich Berechtigten direkt und indirekt an dem Unternehmen gehaltenen Anteilen nach der Akkumulationsmethode in EUR</t>
  </si>
  <si>
    <t>.WirtschaftlichBerechtigt.Dom10 | arrays | .[] | select(.AnteilAbsolut != null).AnteilAbsolutInEuro | numbers | "EUR"</t>
  </si>
  <si>
    <t>Fokusrechtseinheit.wirtschaftlichBerechtigte.accG10.fiktiv[].anteil.anteilAbsolutInEUR.waehrung</t>
  </si>
  <si>
    <t>Fokusrechtseinheit.wirtschaftlichBerechtigte.accG10.fiktiv[].anteil.istDirekteBeteiligung</t>
  </si>
  <si>
    <t>Fokusrechtseinheit.wirtschaftlichBerechtigte.accG10.fiktiv[].stimmrechteRelativ</t>
  </si>
  <si>
    <t>Fokusrechtseinheit.wirtschaftlichBerechtigte.accG10.fiktiv[].stimmrechteRelativDirekt</t>
  </si>
  <si>
    <t>Fokusrechtseinheit.wirtschaftlichBerechtigte.accG10.fiktiv[].anteilRelativDirekt</t>
  </si>
  <si>
    <t>Fokusrechtseinheit.wirtschaftlichBerechtigte.accG10.fiktiv[].sonstigeKontrolleGrund</t>
  </si>
  <si>
    <t>.WirtschaftlichBerechtigt.Dom10 | arrays | .[] | select(.AnteilAbsolut != null).IstHighRisk | booleans</t>
  </si>
  <si>
    <t>Fokusrechtseinheit.wirtschaftlichBerechtigte.accG10.fiktiv[].istHighRisk</t>
  </si>
  <si>
    <t>.WirtschaftlichBerechtigt.Dom10 | arrays | .[] | select(.Stimmrechte != null).UfId | numbers | "P" +  tostring</t>
  </si>
  <si>
    <t>Fokusrechtseinheit.wirtschaftlichBerechtigte.accG25</t>
  </si>
  <si>
    <t>accG25</t>
  </si>
  <si>
    <t>Fokusrechtseinheit.wirtschaftlichBerechtigte.accG25.kapital[]</t>
  </si>
  <si>
    <t>Fokusrechtseinheit.wirtschaftlichBerechtigte.accG25.kapital[].id</t>
  </si>
  <si>
    <t>Fokusrechtseinheit.wirtschaftlichBerechtigte.accG25.kapital[].anteil</t>
  </si>
  <si>
    <t>Fokusrechtseinheit.wirtschaftlichBerechtigte.accG25.kapital[].anteil.anteilRelativ</t>
  </si>
  <si>
    <t>Fokusrechtseinheit.wirtschaftlichBerechtigte.accG25.kapital[].anteil.anteilAbsolut</t>
  </si>
  <si>
    <t>Fokusrechtseinheit.wirtschaftlichBerechtigte.accG25.kapital[].anteil.anteilAbsolut.betrag</t>
  </si>
  <si>
    <t>.WirtschaftlichBerechtigt.Dom10 | arrays | .[] | select(.Stimmrechte != null).Stimmrechte | numbers | tostring</t>
  </si>
  <si>
    <t>Fokusrechtseinheit.wirtschaftlichBerechtigte.accG25.kapital[].anteil.anteilAbsolut.waehrung</t>
  </si>
  <si>
    <t>Fokusrechtseinheit.wirtschaftlichBerechtigte.accG25.kapital[].anteil.anteilAbsolutInEUR</t>
  </si>
  <si>
    <t>Fokusrechtseinheit.wirtschaftlichBerechtigte.accG25.kapital[].anteil.anteilAbsolutInEUR.betrag</t>
  </si>
  <si>
    <t>Fokusrechtseinheit.wirtschaftlichBerechtigte.accG25.kapital[].anteil.anteilAbsolutInEUR.waehrung</t>
  </si>
  <si>
    <t>.WirtschaftlichBerechtigt.Dom10 | arrays | .[] | select(.Stimmrechte != null).IstHighRisk | booleans</t>
  </si>
  <si>
    <t>Fokusrechtseinheit.wirtschaftlichBerechtigte.accG25.kapital[].anteil.istDirekteBeteiligung</t>
  </si>
  <si>
    <t>.WirtschaftlichBerechtigt.Dom10 | arrays | .[] | select(.SonstigeKontrolle != null).UfId | numbers | "P" +  tostring</t>
  </si>
  <si>
    <t>Fokusrechtseinheit.wirtschaftlichBerechtigte.accG25.kapital[].stimmrechteRelativ</t>
  </si>
  <si>
    <t>Fokusrechtseinheit.wirtschaftlichBerechtigte.accG25.kapital[].stimmrechteRelativDirekt</t>
  </si>
  <si>
    <t>Fokusrechtseinheit.wirtschaftlichBerechtigte.accG25.kapital[].anteilRelativDirekt</t>
  </si>
  <si>
    <t>Fokusrechtseinheit.wirtschaftlichBerechtigte.accG25.kapital[].sonstigeKontrolleGrund</t>
  </si>
  <si>
    <t>Fokusrechtseinheit.wirtschaftlichBerechtigte.accG25.kapital[].istHighRisk</t>
  </si>
  <si>
    <t>Fokusrechtseinheit.wirtschaftlichBerechtigte.accG25.stimmrechte[]</t>
  </si>
  <si>
    <t>Fokusrechtseinheit.wirtschaftlichBerechtigte.accG25.stimmrechte[].id</t>
  </si>
  <si>
    <t>Fokusrechtseinheit.wirtschaftlichBerechtigte.accG25.stimmrechte[].anteil</t>
  </si>
  <si>
    <t>Fokusrechtseinheit.wirtschaftlichBerechtigte.accG25.stimmrechte[].anteil.anteilRelativ</t>
  </si>
  <si>
    <t>Fokusrechtseinheit.wirtschaftlichBerechtigte.accG25.stimmrechte[].anteil.anteilAbsolut</t>
  </si>
  <si>
    <t>.WirtschaftlichBerechtigt.Dom10 | arrays | .[] | select(.SonstigeKontrolle != null).SonstigeKontrolle | strings</t>
  </si>
  <si>
    <t>Fokusrechtseinheit.wirtschaftlichBerechtigte.accG25.stimmrechte[].anteil.anteilAbsolut.betrag</t>
  </si>
  <si>
    <t>.WirtschaftlichBerechtigt.Dom10 | arrays | .[] | select(.SonstigeKontrolle != null).IstHighRisk | booleans</t>
  </si>
  <si>
    <t>Fokusrechtseinheit.wirtschaftlichBerechtigte.accG25.stimmrechte[].anteil.anteilAbsolut.waehrung</t>
  </si>
  <si>
    <t>select(.MetaInformationen.HierarchieNichtPruefbar==false) | .WirtschaftlichBerechtigt.Dom10 | arrays | .[] | select(.IstFiktiv==true).UfId | numbers | "P" +  tostring</t>
  </si>
  <si>
    <t>Fokusrechtseinheit.wirtschaftlichBerechtigte.accG25.stimmrechte[].anteil.anteilAbsolutInEUR</t>
  </si>
  <si>
    <t>Fokusrechtseinheit.wirtschaftlichBerechtigte.accG25.stimmrechte[].anteil.anteilAbsolutInEUR.betrag</t>
  </si>
  <si>
    <t>Gesamtwert der vom wirtschaftlich Berechtigten direkt und indirekt an dem Unternehmen gehaltenen Anteile nach der Akkumulationsmethode (wie in SoW definiert) in EUR</t>
  </si>
  <si>
    <t>Fokusrechtseinheit.wirtschaftlichBerechtigte.accG25.stimmrechte[].anteil.anteilAbsolutInEUR.waehrung</t>
  </si>
  <si>
    <t>Fokusrechtseinheit.wirtschaftlichBerechtigte.accG25.stimmrechte[].anteil.istDirekteBeteiligung</t>
  </si>
  <si>
    <t>Fokusrechtseinheit.wirtschaftlichBerechtigte.accG25.stimmrechte[].stimmrechteRelativ</t>
  </si>
  <si>
    <t>Fokusrechtseinheit.wirtschaftlichBerechtigte.accG25.stimmrechte[].stimmrechteRelativDirekt</t>
  </si>
  <si>
    <t>Fokusrechtseinheit.wirtschaftlichBerechtigte.accG25.stimmrechte[].anteilRelativDirekt</t>
  </si>
  <si>
    <t>Fokusrechtseinheit.wirtschaftlichBerechtigte.accG25.stimmrechte[].sonstigeKontrolleGrund</t>
  </si>
  <si>
    <t>Fokusrechtseinheit.wirtschaftlichBerechtigte.accG25.stimmrechte[].istHighRisk</t>
  </si>
  <si>
    <t>Fokusrechtseinheit.wirtschaftlichBerechtigte.accG25.sonstigeKontrolle[]</t>
  </si>
  <si>
    <t>Fokusrechtseinheit.wirtschaftlichBerechtigte.accG25.sonstigeKontrolle[].id</t>
  </si>
  <si>
    <t>select(.MetaInformationen.HierarchieNichtPruefbar==false) | .WirtschaftlichBerechtigt.Dom10 | arrays | .[] | select(.IstFiktiv==true).IstHighRisk | booleans</t>
  </si>
  <si>
    <t>Fokusrechtseinheit.wirtschaftlichBerechtigte.accG25.sonstigeKontrolle[].anteil</t>
  </si>
  <si>
    <t>.WirtschaftlichBerechtigt.Dom25 | arrays | .[] | select(.AnteilAbsolut != null).UfId | numbers | "P" +  tostring</t>
  </si>
  <si>
    <t>Fokusrechtseinheit.wirtschaftlichBerechtigte.accG25.sonstigeKontrolle[].anteil.anteilRelativ</t>
  </si>
  <si>
    <t>.WirtschaftlichBerechtigt.Dom25 | arrays | .[] | select(.AnteilAbsolut != null).AnteilRelativ | numbers | tostring</t>
  </si>
  <si>
    <t>Fokusrechtseinheit.wirtschaftlichBerechtigte.accG25.sonstigeKontrolle[].anteil.anteilAbsolut</t>
  </si>
  <si>
    <t>.WirtschaftlichBerechtigt.Dom25 | arrays | .[] | select(.AnteilAbsolut != null).AnteilAbsolut | numbers | tostring</t>
  </si>
  <si>
    <t>Fokusrechtseinheit.wirtschaftlichBerechtigte.accG25.sonstigeKontrolle[].anteil.anteilAbsolut.betrag</t>
  </si>
  <si>
    <t>.WirtschaftlichBerechtigt.Dom25 | arrays | .[] | select(.AnteilAbsolut != null).AnteilAbsolutWaehrung | strings</t>
  </si>
  <si>
    <t>Fokusrechtseinheit.wirtschaftlichBerechtigte.accG25.sonstigeKontrolle[].anteil.anteilAbsolut.waehrung</t>
  </si>
  <si>
    <t>.WirtschaftlichBerechtigt.Dom25 | arrays | .[] | select(.AnteilAbsolut != null).AnteilAbsolutInEuro | numbers | tostring</t>
  </si>
  <si>
    <t>Fokusrechtseinheit.wirtschaftlichBerechtigte.accG25.sonstigeKontrolle[].anteil.anteilAbsolutInEUR</t>
  </si>
  <si>
    <t>.WirtschaftlichBerechtigt.Dom25 | arrays | .[] | select(.AnteilAbsolut != null).AnteilAbsolutInEuro | numbers | "EUR"</t>
  </si>
  <si>
    <t>Fokusrechtseinheit.wirtschaftlichBerechtigte.accG25.sonstigeKontrolle[].anteil.anteilAbsolutInEUR.betrag</t>
  </si>
  <si>
    <t>Fokusrechtseinheit.wirtschaftlichBerechtigte.accG25.sonstigeKontrolle[].anteil.anteilAbsolutInEUR.waehrung</t>
  </si>
  <si>
    <t>Fokusrechtseinheit.wirtschaftlichBerechtigte.accG25.sonstigeKontrolle[].anteil.istDirekteBeteiligung</t>
  </si>
  <si>
    <t>Fokusrechtseinheit.wirtschaftlichBerechtigte.accG25.sonstigeKontrolle[].stimmrechteRelativ</t>
  </si>
  <si>
    <t>Fokusrechtseinheit.wirtschaftlichBerechtigte.accG25.sonstigeKontrolle[].stimmrechteRelativDirekt</t>
  </si>
  <si>
    <t>Fokusrechtseinheit.wirtschaftlichBerechtigte.accG25.sonstigeKontrolle[].anteilRelativDirekt</t>
  </si>
  <si>
    <t>.WirtschaftlichBerechtigt.Dom25 | arrays | .[] | select(.AnteilAbsolut != null).IstHighRisk | booleans</t>
  </si>
  <si>
    <t>Fokusrechtseinheit.wirtschaftlichBerechtigte.accG25.sonstigeKontrolle[].sonstigeKontrolleGrund</t>
  </si>
  <si>
    <t>.WirtschaftlichBerechtigt.Dom25 | arrays | .[] | select(.Stimmrechte != null).UfId | numbers | "P" +  tostring</t>
  </si>
  <si>
    <t>Fokusrechtseinheit.wirtschaftlichBerechtigte.accG25.sonstigeKontrolle[].istHighRisk</t>
  </si>
  <si>
    <t>Fokusrechtseinheit.wirtschaftlichBerechtigte.accG25.fiktiv[]</t>
  </si>
  <si>
    <t>Fokusrechtseinheit.wirtschaftlichBerechtigte.accG25.fiktiv[].id</t>
  </si>
  <si>
    <t>Fokusrechtseinheit.wirtschaftlichBerechtigte.accG25.fiktiv[].anteil</t>
  </si>
  <si>
    <t>Fokusrechtseinheit.wirtschaftlichBerechtigte.accG25.fiktiv[].anteil.anteilRelativ</t>
  </si>
  <si>
    <t>Fokusrechtseinheit.wirtschaftlichBerechtigte.accG25.fiktiv[].anteil.anteilAbsolut</t>
  </si>
  <si>
    <t>Fokusrechtseinheit.wirtschaftlichBerechtigte.accG25.fiktiv[].anteil.anteilAbsolut.betrag</t>
  </si>
  <si>
    <t>.WirtschaftlichBerechtigt.Dom25 | arrays | .[] | select(.Stimmrechte != null).Stimmrechte | numbers | tostring</t>
  </si>
  <si>
    <t>Fokusrechtseinheit.wirtschaftlichBerechtigte.accG25.fiktiv[].anteil.anteilAbsolut.waehrung</t>
  </si>
  <si>
    <t>Fokusrechtseinheit.wirtschaftlichBerechtigte.accG25.fiktiv[].anteil.anteilAbsolutInEUR</t>
  </si>
  <si>
    <t>Fokusrechtseinheit.wirtschaftlichBerechtigte.accG25.fiktiv[].anteil.anteilAbsolutInEUR.betrag</t>
  </si>
  <si>
    <t>Fokusrechtseinheit.wirtschaftlichBerechtigte.accG25.fiktiv[].anteil.anteilAbsolutInEUR.waehrung</t>
  </si>
  <si>
    <t>.WirtschaftlichBerechtigt.Dom25 | arrays | .[] | select(.Stimmrechte != null).IstHighRisk | booleans</t>
  </si>
  <si>
    <t>Fokusrechtseinheit.wirtschaftlichBerechtigte.accG25.fiktiv[].anteil.istDirekteBeteiligung</t>
  </si>
  <si>
    <t>.WirtschaftlichBerechtigt.Dom25 | arrays | .[] | select(.SonstigeKontrolle != null).UfId | numbers | "P" +  tostring</t>
  </si>
  <si>
    <t>Fokusrechtseinheit.wirtschaftlichBerechtigte.accG25.fiktiv[].stimmrechteRelativ</t>
  </si>
  <si>
    <t>Fokusrechtseinheit.wirtschaftlichBerechtigte.accG25.fiktiv[].stimmrechteRelativDirekt</t>
  </si>
  <si>
    <t>Fokusrechtseinheit.wirtschaftlichBerechtigte.accG25.fiktiv[].anteilRelativDirekt</t>
  </si>
  <si>
    <t>Fokusrechtseinheit.wirtschaftlichBerechtigte.accG25.fiktiv[].sonstigeKontrolleGrund</t>
  </si>
  <si>
    <t>Fokusrechtseinheit.wirtschaftlichBerechtigte.accG25.fiktiv[].istHighRisk</t>
  </si>
  <si>
    <t>Fokusrechtseinheit.wirtschaftlichBerechtigte.dom10</t>
  </si>
  <si>
    <t>dom10</t>
  </si>
  <si>
    <t>Fokusrechtseinheit.wirtschaftlichBerechtigte.dom10.kapital[]</t>
  </si>
  <si>
    <t>Fokusrechtseinheit.wirtschaftlichBerechtigte.dom10.kapital[].id</t>
  </si>
  <si>
    <t>Fokusrechtseinheit.wirtschaftlichBerechtigte.dom10.kapital[].anteil</t>
  </si>
  <si>
    <t>Fokusrechtseinheit.wirtschaftlichBerechtigte.dom10.kapital[].anteil.anteilRelativ</t>
  </si>
  <si>
    <t>.WirtschaftlichBerechtigt.Dom25 | arrays | .[] | select(.SonstigeKontrolle != null).SonstigeKontrolle | strings</t>
  </si>
  <si>
    <t>Fokusrechtseinheit.wirtschaftlichBerechtigte.dom10.kapital[].anteil.anteilAbsolut</t>
  </si>
  <si>
    <t>.WirtschaftlichBerechtigt.Dom25 | arrays | .[] | select(.SonstigeKontrolle != null).IstHighRisk | booleans</t>
  </si>
  <si>
    <t>Fokusrechtseinheit.wirtschaftlichBerechtigte.dom10.kapital[].anteil.anteilAbsolut.betrag</t>
  </si>
  <si>
    <t>select(.MetaInformationen.HierarchieNichtPruefbar==false) | .WirtschaftlichBerechtigt.Dom25 | arrays | .[] | select(.IstFiktiv==true).UfId | numbers | "P" +  tostring</t>
  </si>
  <si>
    <t>Fokusrechtseinheit.wirtschaftlichBerechtigte.dom10.kapital[].anteil.anteilAbsolut.waehrung</t>
  </si>
  <si>
    <t>Fokusrechtseinheit.wirtschaftlichBerechtigte.dom10.kapital[].anteil.anteilAbsolutInEUR</t>
  </si>
  <si>
    <t>Fokusrechtseinheit.wirtschaftlichBerechtigte.dom10.kapital[].anteil.anteilAbsolutInEUR.betrag</t>
  </si>
  <si>
    <t>Fokusrechtseinheit.wirtschaftlichBerechtigte.dom10.kapital[].anteil.anteilAbsolutInEUR.waehrung</t>
  </si>
  <si>
    <t>Fokusrechtseinheit.wirtschaftlichBerechtigte.dom10.kapital[].anteil.istDirekteBeteiligung</t>
  </si>
  <si>
    <t>Fokusrechtseinheit.wirtschaftlichBerechtigte.dom10.kapital[].stimmrechteRelativ</t>
  </si>
  <si>
    <t>Fokusrechtseinheit.wirtschaftlichBerechtigte.dom10.kapital[].stimmrechteRelativDirekt</t>
  </si>
  <si>
    <t>Fokusrechtseinheit.wirtschaftlichBerechtigte.dom10.kapital[].anteilRelativDirekt</t>
  </si>
  <si>
    <t>Fokusrechtseinheit.wirtschaftlichBerechtigte.dom10.kapital[].sonstigeKontrolleGrund</t>
  </si>
  <si>
    <t>Fokusrechtseinheit.wirtschaftlichBerechtigte.dom10.kapital[].istHighRisk</t>
  </si>
  <si>
    <t>Fokusrechtseinheit.wirtschaftlichBerechtigte.dom10.stimmrechte[]</t>
  </si>
  <si>
    <t>select(.MetaInformationen.HierarchieNichtPruefbar==false) | .WirtschaftlichBerechtigt.Dom25 | arrays | .[] | select(.IstFiktiv==true).IstHighRisk | booleans</t>
  </si>
  <si>
    <t>Fokusrechtseinheit.wirtschaftlichBerechtigte.dom10.stimmrechte[].id</t>
  </si>
  <si>
    <t>TR</t>
  </si>
  <si>
    <t>.wirtschaftlichBerechtigte[].vorname | strings</t>
  </si>
  <si>
    <t>Fokusrechtseinheit.wirtschaftlichBerechtigte.dom10.stimmrechte[].anteil</t>
  </si>
  <si>
    <t>.wirtschaftlichBerechtigte[].nachname | strings</t>
  </si>
  <si>
    <t>Fokusrechtseinheit.wirtschaftlichBerechtigte.dom10.stimmrechte[].anteil.anteilRelativ</t>
  </si>
  <si>
    <t>.wirtschaftlichBerechtigte[].titel | strings</t>
  </si>
  <si>
    <t>Fokusrechtseinheit.wirtschaftlichBerechtigte.dom10.stimmrechte[].anteil.anteilAbsolut</t>
  </si>
  <si>
    <t>.wirtschaftlichBerechtigte[].geburtsdatum | strings | MAP</t>
  </si>
  <si>
    <t>Fokusrechtseinheit.wirtschaftlichBerechtigte.dom10.stimmrechte[].anteil.anteilAbsolut.betrag</t>
  </si>
  <si>
    <t>.wirtschaftlichBerechtigte[].staatsangehoerigkeit[] | strings | MAP</t>
  </si>
  <si>
    <t>Fokusrechtseinheit.wirtschaftlichBerechtigte.dom10.stimmrechte[].anteil.anteilAbsolut.waehrung</t>
  </si>
  <si>
    <t>.wirtschaftlichBerechtigte[].wohnort | strings</t>
  </si>
  <si>
    <t>Fokusrechtseinheit.wirtschaftlichBerechtigte.dom10.stimmrechte[].anteil.anteilAbsolutInEUR</t>
  </si>
  <si>
    <t>.wirtschaftlichBerechtigte[].wohnSitzLand | strings | MAP</t>
  </si>
  <si>
    <t>Fokusrechtseinheit.wirtschaftlichBerechtigte.dom10.stimmrechte[].anteil.anteilAbsolutInEUR.betrag</t>
  </si>
  <si>
    <t>.wirtschaftlichBerechtigte[].wirtschaftlichesInteresseArt | strings</t>
  </si>
  <si>
    <t>Fokusrechtseinheit.wirtschaftlichBerechtigte.dom10.stimmrechte[].anteil.anteilAbsolutInEUR.waehrung</t>
  </si>
  <si>
    <t>.wirtschaftlichBerechtigte[].wirtschaftlichesInteresseUmfang | strings</t>
  </si>
  <si>
    <t>Fokusrechtseinheit.wirtschaftlichBerechtigte.dom10.stimmrechte[].anteil.istDirekteBeteiligung</t>
  </si>
  <si>
    <t>.Funktionstraeger.Liste | arrays | .[] | select(.Typ==1) | select(.Austrittsdatum==null).UfId | numbers | "P" +  tostring</t>
  </si>
  <si>
    <t>Fokusrechtseinheit.wirtschaftlichBerechtigte.dom10.stimmrechte[].stimmrechteRelativ</t>
  </si>
  <si>
    <t>Bezogen auf Abruf der Person: .Anrede | strings</t>
  </si>
  <si>
    <t>Fokusrechtseinheit.wirtschaftlichBerechtigte.dom10.stimmrechte[].stimmrechteRelativDirekt</t>
  </si>
  <si>
    <t>Bezogen auf Abruf der Person: .Vorname | strings</t>
  </si>
  <si>
    <t>Fokusrechtseinheit.wirtschaftlichBerechtigte.dom10.stimmrechte[].anteilRelativDirekt</t>
  </si>
  <si>
    <t>Bezogen auf Abruf der Person: .Nachname | strings</t>
  </si>
  <si>
    <t>Fokusrechtseinheit.wirtschaftlichBerechtigte.dom10.stimmrechte[].sonstigeKontrolleGrund</t>
  </si>
  <si>
    <t>Bezogen auf Abruf der Person: .Titel | strings</t>
  </si>
  <si>
    <t>Fokusrechtseinheit.wirtschaftlichBerechtigte.dom10.stimmrechte[].istHighRisk</t>
  </si>
  <si>
    <t>Bezogen auf Abruf der Person: .Geburtstag | strings</t>
  </si>
  <si>
    <t>Fokusrechtseinheit.wirtschaftlichBerechtigte.dom10.sonstigeKontrolle[]</t>
  </si>
  <si>
    <t>Bezogen auf Abruf der Person: .Nationalitaet | strings</t>
  </si>
  <si>
    <t>Fokusrechtseinheit.wirtschaftlichBerechtigte.dom10.sonstigeKontrolle[].id</t>
  </si>
  <si>
    <t>Fokusrechtseinheit.wirtschaftlichBerechtigte.dom10.sonstigeKontrolle[].anteil</t>
  </si>
  <si>
    <t>.Funktionstraeger.Liste | arrays | .[] | select(.Typ==1) | select(.Austrittsdatum==null).Rolle | strings</t>
  </si>
  <si>
    <t>Fokusrechtseinheit.wirtschaftlichBerechtigte.dom10.sonstigeKontrolle[].anteil.anteilRelativ</t>
  </si>
  <si>
    <t>.Funktionstraeger.Liste | arrays | .[] | select(.Typ==1) | select(.Austrittsdatum==null).IstVertretungsberechtigt | booleans</t>
  </si>
  <si>
    <t>Fokusrechtseinheit.wirtschaftlichBerechtigte.dom10.sonstigeKontrolle[].anteil.anteilAbsolut</t>
  </si>
  <si>
    <t>.Funktionstraeger.Liste | arrays | .[] | select(.Typ==1) | select(.Austrittsdatum==null).IstAusschlussVonParagraph181 | booleans</t>
  </si>
  <si>
    <t>Fokusrechtseinheit.wirtschaftlichBerechtigte.dom10.sonstigeKontrolle[].anteil.anteilAbsolut.betrag</t>
  </si>
  <si>
    <t>.Funktionstraeger.Liste | arrays | .[] | select(.Typ==1) | select(.Austrittsdatum==null).UmfangDerVertretungsberechtigung | strings</t>
  </si>
  <si>
    <t>Fokusrechtseinheit.wirtschaftlichBerechtigte.dom10.sonstigeKontrolle[].anteil.anteilAbsolut.waehrung</t>
  </si>
  <si>
    <t>.Funktionstraeger.Liste | arrays | .[] | select(.Typ==1) | select(.Austrittsdatum==null).Eintrittsdatum | strings</t>
  </si>
  <si>
    <t>Fokusrechtseinheit.wirtschaftlichBerechtigte.dom10.sonstigeKontrolle[].anteil.anteilAbsolutInEUR</t>
  </si>
  <si>
    <t>true</t>
  </si>
  <si>
    <t>.Funktionstraeger.Liste | arrays | .[] | select(.Typ==1) | select(.Austrittsdatum==null).Austrittsdatum | select(type=="string" or type=="null")</t>
  </si>
  <si>
    <t>Fokusrechtseinheit.wirtschaftlichBerechtigte.dom10.sonstigeKontrolle[].anteil.anteilAbsolutInEUR.betrag</t>
  </si>
  <si>
    <t>.Funktionstraeger.Liste | arrays | .[] | select(.Typ==0) | select(.Austrittsdatum==null).UfId | numbers | "R" +  tostring</t>
  </si>
  <si>
    <t>Fokusrechtseinheit.wirtschaftlichBerechtigte.dom10.sonstigeKontrolle[].anteil.anteilAbsolutInEUR.waehrung</t>
  </si>
  <si>
    <t>.Funktionstraeger.Liste | arrays | .[] | select(.Typ==0) | select(.Austrittsdatum==null).Rolle | strings</t>
  </si>
  <si>
    <t>Fokusrechtseinheit.wirtschaftlichBerechtigte.dom10.sonstigeKontrolle[].anteil.istDirekteBeteiligung</t>
  </si>
  <si>
    <t>.Funktionstraeger.Liste | arrays | .[] | select(.Typ==0) | select(.Austrittsdatum==null).IstVertretungsberechtigt | booleans</t>
  </si>
  <si>
    <t>Fokusrechtseinheit.wirtschaftlichBerechtigte.dom10.sonstigeKontrolle[].stimmrechteRelativ</t>
  </si>
  <si>
    <t>.Funktionstraeger.Liste | arrays | .[] | select(.Typ==0) | select(.Austrittsdatum==null).IstAusschlussVonParagraph181 | booleans</t>
  </si>
  <si>
    <t>Fokusrechtseinheit.wirtschaftlichBerechtigte.dom10.sonstigeKontrolle[].stimmrechteRelativDirekt</t>
  </si>
  <si>
    <t>.Funktionstraeger.Liste | arrays | .[] | select(.Typ==0) | select(.Austrittsdatum==null).UmfangDerVertretungsberechtigung | strings</t>
  </si>
  <si>
    <t>Fokusrechtseinheit.wirtschaftlichBerechtigte.dom10.sonstigeKontrolle[].anteilRelativDirekt</t>
  </si>
  <si>
    <t>.Funktionstraeger.Liste | arrays | .[] | select(.Typ==0) | select(.Austrittsdatum==null).Eintrittsdatum | strings</t>
  </si>
  <si>
    <t>Fokusrechtseinheit.wirtschaftlichBerechtigte.dom10.sonstigeKontrolle[].sonstigeKontrolleGrund</t>
  </si>
  <si>
    <t>.Funktionstraeger.Liste | arrays | .[] | select(.Typ==0) | select(.Austrittsdatum==null).Austrittsdatum | select(type=="string" or type=="null")</t>
  </si>
  <si>
    <t>Fokusrechtseinheit.wirtschaftlichBerechtigte.dom10.sonstigeKontrolle[].istHighRisk</t>
  </si>
  <si>
    <t>.Anteilseigner.Liste | arrays | .[] | select(.Informationen.IstBeteiligung==true and .Informationen.Typ==1).Informationen.UfId | numbers | "P" +  tostring</t>
  </si>
  <si>
    <t>Fokusrechtseinheit.wirtschaftlichBerechtigte.dom10.fiktiv[]</t>
  </si>
  <si>
    <t>.Anteilseigner.Liste | arrays | .[] | select(.Informationen.IstBeteiligung==true and .Informationen.Typ==1).Informationen.AnteilDirekt | numbers | tostring</t>
  </si>
  <si>
    <t>Fokusrechtseinheit.wirtschaftlichBerechtigte.dom10.fiktiv[].id</t>
  </si>
  <si>
    <t>.Anteilseigner.Liste | arrays | .[] | select(.Informationen.IstBeteiligung==true and .Informationen.Typ==1).Informationen.Kapitalanteil | numbers | tostring</t>
  </si>
  <si>
    <t>Fokusrechtseinheit.wirtschaftlichBerechtigte.dom10.fiktiv[].anteil</t>
  </si>
  <si>
    <t>.Anteilseigner.Liste | arrays | .[] | select(.Informationen.IstBeteiligung==true and .Informationen.Typ==1).Informationen.KapitalanteilWaehrung | strings</t>
  </si>
  <si>
    <t>Fokusrechtseinheit.wirtschaftlichBerechtigte.dom10.fiktiv[].anteil.anteilRelativ</t>
  </si>
  <si>
    <t>.Anteilseigner.Liste | arrays | .[] | select(.Informationen.IstBeteiligung==true and .Informationen.Typ==1).Informationen.KapitalanteilInEuro | numbers | tostring</t>
  </si>
  <si>
    <t>Fokusrechtseinheit.wirtschaftlichBerechtigte.dom10.fiktiv[].anteil.anteilAbsolut</t>
  </si>
  <si>
    <t>.Anteilseigner.Liste | arrays | .[] | select(.Informationen.IstBeteiligung==true and .Informationen.Typ==1).Informationen.KapitalanteilInEuro | numbers | "EUR"</t>
  </si>
  <si>
    <t>Fokusrechtseinheit.wirtschaftlichBerechtigte.dom10.fiktiv[].anteil.anteilAbsolut.betrag</t>
  </si>
  <si>
    <t>.Anteilseigner.Liste | arrays | .[] | select(.Informationen.IstBeteiligung==true and .Informationen.Typ==1).Informationen.StimmrechteDirekt | numbers | tostring</t>
  </si>
  <si>
    <t>Fokusrechtseinheit.wirtschaftlichBerechtigte.dom10.fiktiv[].anteil.anteilAbsolut.waehrung</t>
  </si>
  <si>
    <t>.Anteilseigner.Liste | arrays | .[] | select(.Informationen.IstBeteiligung==true and .Informationen.Typ==1).Informationen.istDirekteBeteiligung | booleans</t>
  </si>
  <si>
    <t>Fokusrechtseinheit.wirtschaftlichBerechtigte.dom10.fiktiv[].anteil.anteilAbsolutInEUR</t>
  </si>
  <si>
    <t>.Anteilseigner.Liste | arrays | .[] | select(.Informationen.IstBeteiligung==true and .Informationen.Typ==1).Informationen.AnteileDominanz.Standard | numbers | tostring</t>
  </si>
  <si>
    <t>Fokusrechtseinheit.wirtschaftlichBerechtigte.dom10.fiktiv[].anteil.anteilAbsolutInEUR.betrag</t>
  </si>
  <si>
    <t>.Anteilseigner.Liste | arrays | .[] | select(.Informationen.IstBeteiligung==true and .Informationen.Typ==1).Informationen.AnteileStimmrechteDominanz.Standard | numbers | tostring</t>
  </si>
  <si>
    <t>Fokusrechtseinheit.wirtschaftlichBerechtigte.dom10.fiktiv[].anteil.anteilAbsolutInEUR.waehrung</t>
  </si>
  <si>
    <t>.Anteilseigner.Liste | arrays | .[] | select(.Informationen.IstBeteiligung==true and .Informationen.Typ==1).Informationen.AnteilAkkumuliert | numbers | tostring</t>
  </si>
  <si>
    <t>Fokusrechtseinheit.wirtschaftlichBerechtigte.dom10.fiktiv[].anteil.istDirekteBeteiligung</t>
  </si>
  <si>
    <t>.Anteilseigner.Liste | arrays | .[] | select(.Informationen.IstBeteiligung==true and .Informationen.Typ==1).Informationen.StimmrechteAkkumuliert | numbers | tostring</t>
  </si>
  <si>
    <t>Fokusrechtseinheit.wirtschaftlichBerechtigte.dom10.fiktiv[].stimmrechteRelativ</t>
  </si>
  <si>
    <t>Fokusrechtseinheit.wirtschaftlichBerechtigte.dom10.fiktiv[].stimmrechteRelativDirekt</t>
  </si>
  <si>
    <t>Fokusrechtseinheit.wirtschaftlichBerechtigte.dom10.fiktiv[].anteilRelativDirekt</t>
  </si>
  <si>
    <t>.Anteilseigner.Liste | arrays | .[] | select(.Informationen.IstBeteiligung==true and .Informationen.Typ==1).Informationen.AnteileDominanz.Dom10 | numbers | tostring</t>
  </si>
  <si>
    <t>Fokusrechtseinheit.wirtschaftlichBerechtigte.dom10.fiktiv[].sonstigeKontrolleGrund</t>
  </si>
  <si>
    <t>.Anteilseigner.Liste | arrays | .[] | select(.Informationen.IstBeteiligung==true and .Informationen.Typ==1).Informationen.AnteileStimmrechteDominanz.Dom10 | numbers | tostring</t>
  </si>
  <si>
    <t>Fokusrechtseinheit.wirtschaftlichBerechtigte.dom10.fiktiv[].istHighRisk</t>
  </si>
  <si>
    <t>.Anteilseigner.Liste | arrays | .[] | select(.Informationen.IstBeteiligung==true and .Informationen.Typ==1).Informationen.AnteileDominanz.Dom25 | numbers | tostring</t>
  </si>
  <si>
    <t>Fokusrechtseinheit.wirtschaftlichBerechtigte.dom25</t>
  </si>
  <si>
    <t>dom25</t>
  </si>
  <si>
    <t>.Anteilseigner.Liste | arrays | .[] | select(.Informationen.IstBeteiligung==true and .Informationen.Typ==1).Informationen.AnteileStimmrechteDominanz.Dom25 | numbers | tostring</t>
  </si>
  <si>
    <t>Fokusrechtseinheit.wirtschaftlichBerechtigte.dom25.kapital[]</t>
  </si>
  <si>
    <t>.Anteilseigner.Liste | arrays | .[] | select(.Informationen.IstBeteiligung==true and .Informationen.Typ==1).Informationen.AnteileDominanzTotal.Standard | numbers | tostring</t>
  </si>
  <si>
    <t>Fokusrechtseinheit.wirtschaftlichBerechtigte.dom25.kapital[].id</t>
  </si>
  <si>
    <t>.Anteilseigner.Liste | arrays | .[] | select(.Informationen.IstBeteiligung==true and .Informationen.Typ==1).Informationen.AnteileStimmrechteDominanzTotal.Standard | numbers | tostring</t>
  </si>
  <si>
    <t>Fokusrechtseinheit.wirtschaftlichBerechtigte.dom25.kapital[].anteil</t>
  </si>
  <si>
    <t>.Anteilseigner.Liste | arrays | .[] | select(.Informationen.IstBeteiligung==true and .Informationen.Typ==1).Informationen.AnteilAkkumuliertTotal | numbers | tostring</t>
  </si>
  <si>
    <t>Fokusrechtseinheit.wirtschaftlichBerechtigte.dom25.kapital[].anteil.anteilRelativ</t>
  </si>
  <si>
    <t>.Anteilseigner.Liste | arrays | .[] | select(.Informationen.IstBeteiligung==true and .Informationen.Typ==1).Informationen.StimmrechteAkkumuliertTotal | numbers | tostring</t>
  </si>
  <si>
    <t>Fokusrechtseinheit.wirtschaftlichBerechtigte.dom25.kapital[].anteil.anteilAbsolut</t>
  </si>
  <si>
    <t>Fokusrechtseinheit.wirtschaftlichBerechtigte.dom25.kapital[].anteil.anteilAbsolut.betrag</t>
  </si>
  <si>
    <t>Fokusrechtseinheit.wirtschaftlichBerechtigte.dom25.kapital[].anteil.anteilAbsolut.waehrung</t>
  </si>
  <si>
    <t>.Anteilseigner.Liste | arrays | .[] | select(.Informationen.IstBeteiligung==true and .Informationen.Typ==1).Informationen.AnteileDominanzTotal.Dom10 | numbers | tostring</t>
  </si>
  <si>
    <t>Fokusrechtseinheit.wirtschaftlichBerechtigte.dom25.kapital[].anteil.anteilAbsolutInEUR</t>
  </si>
  <si>
    <t>.Anteilseigner.Liste | arrays | .[] | select(.Informationen.IstBeteiligung==true and .Informationen.Typ==1).Informationen.AnteileStimmrechteDominanzTotal.Dom10 | numbers | tostring</t>
  </si>
  <si>
    <t>Fokusrechtseinheit.wirtschaftlichBerechtigte.dom25.kapital[].anteil.anteilAbsolutInEUR.betrag</t>
  </si>
  <si>
    <t>.Anteilseigner.Liste | arrays | .[] | select(.Informationen.IstBeteiligung==true and .Informationen.Typ==1).Informationen.AnteileDominanzTotal.Dom25 | numbers | tostring</t>
  </si>
  <si>
    <t>Fokusrechtseinheit.wirtschaftlichBerechtigte.dom25.kapital[].anteil.anteilAbsolutInEUR.waehrung</t>
  </si>
  <si>
    <t>.Anteilseigner.Liste | arrays | .[] | select(.Informationen.IstBeteiligung==true and .Informationen.Typ==1).Informationen.AnteileStimmrechteDominanzTotal.Dom25 | numbers | tostring</t>
  </si>
  <si>
    <t>Fokusrechtseinheit.wirtschaftlichBerechtigte.dom25.kapital[].anteil.istDirekteBeteiligung</t>
  </si>
  <si>
    <t>Fokusrechtseinheit.wirtschaftlichBerechtigte.dom25.kapital[].stimmrechteRelativ</t>
  </si>
  <si>
    <t>.Anteilseigner.Liste | arrays | .[] | select(.Informationen.IstBeteiligung==true and .Informationen.Typ==0).Informationen.UfId | numbers | "R" +  tostring</t>
  </si>
  <si>
    <t>Fokusrechtseinheit.wirtschaftlichBerechtigte.dom25.kapital[].stimmrechteRelativDirekt</t>
  </si>
  <si>
    <t>.Anteilseigner.Liste | arrays | .[] | select(.Informationen.IstBeteiligung==true and .Informationen.Typ==0).Informationen.AnteilDirekt | numbers | tostring</t>
  </si>
  <si>
    <t>Fokusrechtseinheit.wirtschaftlichBerechtigte.dom25.kapital[].anteilRelativDirekt</t>
  </si>
  <si>
    <t>.Anteilseigner.Liste | arrays | .[] | select(.Informationen.IstBeteiligung==true and .Informationen.Typ==0).Informationen.Kapitalanteil | numbers | tostring</t>
  </si>
  <si>
    <t>Fokusrechtseinheit.wirtschaftlichBerechtigte.dom25.kapital[].sonstigeKontrolleGrund</t>
  </si>
  <si>
    <t>.Anteilseigner.Liste | arrays | .[] | select(.Informationen.IstBeteiligung==true and .Informationen.Typ==0).Informationen.KapitalanteilWaehrung | strings</t>
  </si>
  <si>
    <t>Fokusrechtseinheit.wirtschaftlichBerechtigte.dom25.kapital[].istHighRisk</t>
  </si>
  <si>
    <t>.Anteilseigner.Liste | arrays | .[] | select(.Informationen.IstBeteiligung==true and .Informationen.Typ==0).Informationen.KapitalanteilInEuro | numbers | tostring</t>
  </si>
  <si>
    <t>Fokusrechtseinheit.wirtschaftlichBerechtigte.dom25.stimmrechte[]</t>
  </si>
  <si>
    <t>.Anteilseigner.Liste | arrays | .[] | select(.Informationen.IstBeteiligung==true and .Informationen.Typ==0).Informationen.KapitalanteilInEuro | numbers | "EUR"</t>
  </si>
  <si>
    <t>Fokusrechtseinheit.wirtschaftlichBerechtigte.dom25.stimmrechte[].id</t>
  </si>
  <si>
    <t>.Anteilseigner.Liste | arrays | .[] | select(.Informationen.IstBeteiligung==true and .Informationen.Typ==0).Informationen.StimmrechteDirekt | numbers | tostring</t>
  </si>
  <si>
    <t>Fokusrechtseinheit.wirtschaftlichBerechtigte.dom25.stimmrechte[].anteil</t>
  </si>
  <si>
    <t>.Anteilseigner.Liste | arrays | .[] | select(.Informationen.IstBeteiligung==true and .Informationen.Typ==0).Informationen.istDirekteBeteiligung | booleans</t>
  </si>
  <si>
    <t>Fokusrechtseinheit.wirtschaftlichBerechtigte.dom25.stimmrechte[].anteil.anteilRelativ</t>
  </si>
  <si>
    <t>.Anteilseigner.Liste | arrays | .[] | select(.Informationen.IstBeteiligung==true and .Informationen.Typ==0).Informationen.AnteileDominanz.Standard | numbers | tostring</t>
  </si>
  <si>
    <t>Fokusrechtseinheit.wirtschaftlichBerechtigte.dom25.stimmrechte[].anteil.anteilAbsolut</t>
  </si>
  <si>
    <t>.Anteilseigner.Liste | arrays | .[] | select(.Informationen.IstBeteiligung==true and .Informationen.Typ==0).Informationen.AnteileStimmrechteDominanz.Standard | numbers | tostring</t>
  </si>
  <si>
    <t>Fokusrechtseinheit.wirtschaftlichBerechtigte.dom25.stimmrechte[].anteil.anteilAbsolut.betrag</t>
  </si>
  <si>
    <t>.Anteilseigner.Liste | arrays | .[] | select(.Informationen.IstBeteiligung==true and .Informationen.Typ==0).Informationen.AnteilAkkumuliert | numbers | tostring</t>
  </si>
  <si>
    <t>Fokusrechtseinheit.wirtschaftlichBerechtigte.dom25.stimmrechte[].anteil.anteilAbsolut.waehrung</t>
  </si>
  <si>
    <t>.Anteilseigner.Liste | arrays | .[] | select(.Informationen.IstBeteiligung==true and .Informationen.Typ==0).Informationen.StimmrechteAkkumuliert | numbers | tostring</t>
  </si>
  <si>
    <t>Fokusrechtseinheit.wirtschaftlichBerechtigte.dom25.stimmrechte[].anteil.anteilAbsolutInEUR</t>
  </si>
  <si>
    <t>Fokusrechtseinheit.wirtschaftlichBerechtigte.dom25.stimmrechte[].anteil.anteilAbsolutInEUR.betrag</t>
  </si>
  <si>
    <t>Fokusrechtseinheit.wirtschaftlichBerechtigte.dom25.stimmrechte[].anteil.anteilAbsolutInEUR.waehrung</t>
  </si>
  <si>
    <t>.Anteilseigner.Liste | arrays | .[] | select(.Informationen.IstBeteiligung==true and .Informationen.Typ==0).Informationen.AnteileDominanz.Dom10 | numbers | tostring</t>
  </si>
  <si>
    <t>Fokusrechtseinheit.wirtschaftlichBerechtigte.dom25.stimmrechte[].anteil.istDirekteBeteiligung</t>
  </si>
  <si>
    <t>.Anteilseigner.Liste | arrays | .[] | select(.Informationen.IstBeteiligung==true and .Informationen.Typ==0).Informationen.AnteileStimmrechteDominanz.Dom10 | numbers | tostring</t>
  </si>
  <si>
    <t>Fokusrechtseinheit.wirtschaftlichBerechtigte.dom25.stimmrechte[].stimmrechteRelativ</t>
  </si>
  <si>
    <t>.Anteilseigner.Liste | arrays | .[] | select(.Informationen.IstBeteiligung==true and .Informationen.Typ==0).Informationen.AnteileDominanz.Dom25 | numbers | tostring</t>
  </si>
  <si>
    <t>Fokusrechtseinheit.wirtschaftlichBerechtigte.dom25.stimmrechte[].stimmrechteRelativDirekt</t>
  </si>
  <si>
    <t>.Anteilseigner.Liste | arrays | .[] | select(.Informationen.IstBeteiligung==true and .Informationen.Typ==0).Informationen.AnteileStimmrechteDominanz.Dom25 | numbers | tostring</t>
  </si>
  <si>
    <t>Fokusrechtseinheit.wirtschaftlichBerechtigte.dom25.stimmrechte[].anteilRelativDirekt</t>
  </si>
  <si>
    <t>.Anteilseigner.Liste | arrays | .[] | select(.Informationen.IstBeteiligung==true and .Informationen.Typ==0).Informationen.AnteileDominanzTotal.Standard | numbers | tostring</t>
  </si>
  <si>
    <t>Fokusrechtseinheit.wirtschaftlichBerechtigte.dom25.stimmrechte[].sonstigeKontrolleGrund</t>
  </si>
  <si>
    <t>.Anteilseigner.Liste | arrays | .[] | select(.Informationen.IstBeteiligung==true and .Informationen.Typ==0).Informationen.AnteileStimmrechteDominanzTotal.Standard | numbers | tostring</t>
  </si>
  <si>
    <t>Fokusrechtseinheit.wirtschaftlichBerechtigte.dom25.stimmrechte[].istHighRisk</t>
  </si>
  <si>
    <t>.Anteilseigner.Liste | arrays | .[] | select(.Informationen.IstBeteiligung==true and .Informationen.Typ==0).Informationen.AnteilAkkumuliertTotal | numbers | tostring</t>
  </si>
  <si>
    <t>Fokusrechtseinheit.wirtschaftlichBerechtigte.dom25.sonstigeKontrolle[]</t>
  </si>
  <si>
    <t>.Anteilseigner.Liste | arrays | .[] | select(.Informationen.IstBeteiligung==true and .Informationen.Typ==0).Informationen.StimmrechteAkkumuliertTotal | numbers | tostring</t>
  </si>
  <si>
    <t>Fokusrechtseinheit.wirtschaftlichBerechtigte.dom25.sonstigeKontrolle[].id</t>
  </si>
  <si>
    <t>Fokusrechtseinheit.wirtschaftlichBerechtigte.dom25.sonstigeKontrolle[].anteil</t>
  </si>
  <si>
    <t>Fokusrechtseinheit.wirtschaftlichBerechtigte.dom25.sonstigeKontrolle[].anteil.anteilRelativ</t>
  </si>
  <si>
    <t>.Anteilseigner.Liste | arrays | .[] | select(.Informationen.IstBeteiligung==true and .Informationen.Typ==0).Informationen.AnteileDominanzTotal.Dom10 | numbers | tostring</t>
  </si>
  <si>
    <t>Fokusrechtseinheit.wirtschaftlichBerechtigte.dom25.sonstigeKontrolle[].anteil.anteilAbsolut</t>
  </si>
  <si>
    <t>.Anteilseigner.Liste | arrays | .[] | select(.Informationen.IstBeteiligung==true and .Informationen.Typ==0).Informationen.AnteileStimmrechteDominanzTotal.Dom10 | numbers | tostring</t>
  </si>
  <si>
    <t>Fokusrechtseinheit.wirtschaftlichBerechtigte.dom25.sonstigeKontrolle[].anteil.anteilAbsolut.betrag</t>
  </si>
  <si>
    <t>.Anteilseigner.Liste | arrays | .[] | select(.Informationen.IstBeteiligung==true and .Informationen.Typ==0).Informationen.AnteileDominanzTotal.Dom25 | numbers | tostring</t>
  </si>
  <si>
    <t>Fokusrechtseinheit.wirtschaftlichBerechtigte.dom25.sonstigeKontrolle[].anteil.anteilAbsolut.waehrung</t>
  </si>
  <si>
    <t xml:space="preserve">Die Währung des Gesamtwerts der Anteile </t>
  </si>
  <si>
    <t>.Anteilseigner.Liste | arrays | .[] | select(.Informationen.IstBeteiligung==true and .Informationen.Typ==0).Informationen.AnteileStimmrechteDominanzTotal.Dom25 | numbers | tostring</t>
  </si>
  <si>
    <t>Fokusrechtseinheit.wirtschaftlichBerechtigte.dom25.sonstigeKontrolle[].anteil.anteilAbsolutInEUR</t>
  </si>
  <si>
    <t>Fokusrechtseinheit.wirtschaftlichBerechtigte.dom25.sonstigeKontrolle[].anteil.anteilAbsolutInEUR.betrag</t>
  </si>
  <si>
    <t>.Anteilseigner.Liste | arrays | .[] | select(.Informationen.IstBeteiligung==true and .Informationen.Typ==0).Informationen.HandoverFlagRechtseinheit?? == null</t>
  </si>
  <si>
    <t>Fokusrechtseinheit.wirtschaftlichBerechtigte.dom25.sonstigeKontrolle[].anteil.anteilAbsolutInEUR.waehrung</t>
  </si>
  <si>
    <t>.Anteilseigner.Liste | arrays | .[] | select(.Informationen.IstBeteiligung==true and .Informationen.Typ==0).Informationen.HandoverFlagRechtseinheit??</t>
  </si>
  <si>
    <t>Fokusrechtseinheit.wirtschaftlichBerechtigte.dom25.sonstigeKontrolle[].anteil.istDirekteBeteiligung</t>
  </si>
  <si>
    <t>(rekursiv)</t>
  </si>
  <si>
    <t>.Anteilseigner.Liste | arrays | .[] | select(.Informationen.IstBeteiligung==true and .Informationen.Typ==0).Beteiligungen[] |  select(.Informationen.IstBeteiligung==true and .Informationen.Typ==1)</t>
  </si>
  <si>
    <t>Fokusrechtseinheit.wirtschaftlichBerechtigte.dom25.sonstigeKontrolle[].stimmrechteRelativ</t>
  </si>
  <si>
    <t>.Anteilseigner.Liste | arrays | .[] | select(.Informationen.IstBeteiligung==true and .Informationen.Typ==0).Beteiligungen[] |  select(.Informationen.IstBeteiligung==true and .Informationen.Typ==0)</t>
  </si>
  <si>
    <t>Fokusrechtseinheit.wirtschaftlichBerechtigte.dom25.sonstigeKontrolle[].stimmrechteRelativDirekt</t>
  </si>
  <si>
    <t>.Anteilseigner.Liste | arrays | .[] | select(.Informationen.IstBeteiligung==true and .Informationen.Typ==0).Beteiligungen[] |  select(.Informationen.IstBeteiligung==false and .Informationen.Typ==1)</t>
  </si>
  <si>
    <t>Fokusrechtseinheit.wirtschaftlichBerechtigte.dom25.sonstigeKontrolle[].anteilRelativDirekt</t>
  </si>
  <si>
    <t>.Anteilseigner.Liste | arrays | .[] | select(.Informationen.IstBeteiligung==true and .Informationen.Typ==0).Beteiligungen[] |  select(.Informationen.IstBeteiligung==false and .Informationen.Typ==0)</t>
  </si>
  <si>
    <t>Fokusrechtseinheit.wirtschaftlichBerechtigte.dom25.sonstigeKontrolle[].sonstigeKontrolleGrund</t>
  </si>
  <si>
    <t>.Anteilseigner.Liste | arrays | .[] | select(.Informationen.IstBeteiligung==false and .Informationen.Typ==1).Informationen.UfId | numbers | "P" +  tostring</t>
  </si>
  <si>
    <t>Fokusrechtseinheit.wirtschaftlichBerechtigte.dom25.sonstigeKontrolle[].istHighRisk</t>
  </si>
  <si>
    <t>.Anteilseigner.Liste | arrays | .[] | select(.Informationen.IstBeteiligung==false and .Informationen.Typ==1).Informationen.AnteilDirekt | numbers | tostring</t>
  </si>
  <si>
    <t>Fokusrechtseinheit.wirtschaftlichBerechtigte.dom25.fiktiv[]</t>
  </si>
  <si>
    <t>.Anteilseigner.Liste | arrays | .[] | select(.Informationen.IstBeteiligung==false and .Informationen.Typ==1).Informationen.Kapitalanteil | numbers | tostring</t>
  </si>
  <si>
    <t>Fokusrechtseinheit.wirtschaftlichBerechtigte.dom25.fiktiv[].id</t>
  </si>
  <si>
    <t>.Anteilseigner.Liste | arrays | .[] | select(.Informationen.IstBeteiligung==false and .Informationen.Typ==1).Informationen.KapitalanteilWaehrung | strings</t>
  </si>
  <si>
    <t>Fokusrechtseinheit.wirtschaftlichBerechtigte.dom25.fiktiv[].anteil</t>
  </si>
  <si>
    <t>.Anteilseigner.Liste | arrays | .[] | select(.Informationen.IstBeteiligung==false and .Informationen.Typ==1).Informationen.KapitalanteilInEuro | numbers | tostring</t>
  </si>
  <si>
    <t>Fokusrechtseinheit.wirtschaftlichBerechtigte.dom25.fiktiv[].anteil.anteilRelativ</t>
  </si>
  <si>
    <t>.Anteilseigner.Liste | arrays | .[] | select(.Informationen.IstBeteiligung==false and .Informationen.Typ==1).Informationen.KapitalanteilInEuro | numbers | "EUR"</t>
  </si>
  <si>
    <t>Fokusrechtseinheit.wirtschaftlichBerechtigte.dom25.fiktiv[].anteil.anteilAbsolut</t>
  </si>
  <si>
    <t>.Anteilseigner.Liste | arrays | .[] | select(.Informationen.IstBeteiligung==false and .Informationen.Typ==1).Informationen.istDirekteBeteiligung | booleans</t>
  </si>
  <si>
    <t>Fokusrechtseinheit.wirtschaftlichBerechtigte.dom25.fiktiv[].anteil.anteilAbsolut.betrag</t>
  </si>
  <si>
    <t>.Anteilseigner.Liste | arrays | .[] | select(.Informationen.IstBeteiligung==false and .Informationen.Typ==1).Informationen.StimmrechteDirekt | numbers | tostring</t>
  </si>
  <si>
    <t>Fokusrechtseinheit.wirtschaftlichBerechtigte.dom25.fiktiv[].anteil.anteilAbsolut.waehrung</t>
  </si>
  <si>
    <t>.Anteilseigner.Liste | arrays | .[] | select(.Informationen.IstBeteiligung==false and .Informationen.Typ==0).Informationen.UfId | numbers | "R" +  tostring</t>
  </si>
  <si>
    <t>Fokusrechtseinheit.wirtschaftlichBerechtigte.dom25.fiktiv[].anteil.anteilAbsolutInEUR</t>
  </si>
  <si>
    <t>.Anteilseigner.Liste | arrays | .[] | select(.Informationen.IstBeteiligung==false and .Informationen.Typ==0).Informationen.AnteilDirekt | numbers | tostring</t>
  </si>
  <si>
    <t>Fokusrechtseinheit.wirtschaftlichBerechtigte.dom25.fiktiv[].anteil.anteilAbsolutInEUR.betrag</t>
  </si>
  <si>
    <t>.Anteilseigner.Liste | arrays | .[] | select(.Informationen.IstBeteiligung==false and .Informationen.Typ==0).Informationen.Kapitalanteil | numbers | tostring</t>
  </si>
  <si>
    <t>Fokusrechtseinheit.wirtschaftlichBerechtigte.dom25.fiktiv[].anteil.anteilAbsolutInEUR.waehrung</t>
  </si>
  <si>
    <t>.Anteilseigner.Liste | arrays | .[] | select(.Informationen.IstBeteiligung==false and .Informationen.Typ==0).Informationen.KapitalanteilWaehrung | strings</t>
  </si>
  <si>
    <t>Fokusrechtseinheit.wirtschaftlichBerechtigte.dom25.fiktiv[].anteil.istDirekteBeteiligung</t>
  </si>
  <si>
    <t>.Anteilseigner.Liste | arrays | .[] | select(.Informationen.IstBeteiligung==false and .Informationen.Typ==0).Informationen.KapitalanteilInEuro | numbers | tostring</t>
  </si>
  <si>
    <t>Fokusrechtseinheit.wirtschaftlichBerechtigte.dom25.fiktiv[].stimmrechteRelativ</t>
  </si>
  <si>
    <t>.Anteilseigner.Liste | arrays | .[] | select(.Informationen.IstBeteiligung==false and .Informationen.Typ==0).Informationen.KapitalanteilInEuro | numbers | "EUR"</t>
  </si>
  <si>
    <t>Fokusrechtseinheit.wirtschaftlichBerechtigte.dom25.fiktiv[].stimmrechteRelativDirekt</t>
  </si>
  <si>
    <t>.Anteilseigner.Liste | arrays | .[] | select(.Informationen.IstBeteiligung==false and .Informationen.Typ==0).Informationen.istDirekteBeteiligung | booleans</t>
  </si>
  <si>
    <t>Fokusrechtseinheit.wirtschaftlichBerechtigte.dom25.fiktiv[].anteilRelativDirekt</t>
  </si>
  <si>
    <t>.Anteilseigner.Liste | arrays | .[] | select(.Informationen.IstBeteiligung==false and .Informationen.Typ==0).Informationen.StimmrechteDirekt | numbers | tostring</t>
  </si>
  <si>
    <t>Fokusrechtseinheit.wirtschaftlichBerechtigte.dom25.fiktiv[].sonstigeKontrolleGrund</t>
  </si>
  <si>
    <t>Fokusrechtseinheit.wirtschaftlichBerechtigte.dom25.fiktiv[].istHighRisk</t>
  </si>
  <si>
    <t>Fokusrechtseinheit.wirtschaftlichBerechtigte.transparenzregister[]</t>
  </si>
  <si>
    <t>transparencyRegister</t>
  </si>
  <si>
    <t>TransparencyRegisterEntry</t>
  </si>
  <si>
    <t>.Anteilseigner.Liste | arrays | .[] | select(.Informationen.IstBeteiligung==false and .Informationen.Typ==0).Beteiligungen[] |  select(.Informationen.IstBeteiligung==true and .Informationen.Typ==1)</t>
  </si>
  <si>
    <t>Fokusrechtseinheit.wirtschaftlichBerechtigte.transparenzregister[].person</t>
  </si>
  <si>
    <t>person</t>
  </si>
  <si>
    <t>NaturalPerson</t>
  </si>
  <si>
    <t>.Anteilseigner.Liste | arrays | .[] | select(.Informationen.IstBeteiligung==false and .Informationen.Typ==0).Beteiligungen[] |  select(.Informationen.IstBeteiligung==true and .Informationen.Typ==0)</t>
  </si>
  <si>
    <t>Fokusrechtseinheit.wirtschaftlichBerechtigte.transparenzregister[].person.vorname</t>
  </si>
  <si>
    <t>givenName</t>
  </si>
  <si>
    <t>VORNAME der natürlichen Person, die im Transparenzregister als wirtschaftlich Berechtigter eingetragen ist</t>
  </si>
  <si>
    <t>.Anteilseigner.Liste | arrays | .[] | select(.Informationen.IstBeteiligung==false and .Informationen.Typ==0).Beteiligungen[] |  select(.Informationen.IstBeteiligung==false and .Informationen.Typ==1)</t>
  </si>
  <si>
    <t>Fokusrechtseinheit.wirtschaftlichBerechtigte.transparenzregister[].person.nachname</t>
  </si>
  <si>
    <t>familyName</t>
  </si>
  <si>
    <t>NACHNAME der natürlichen Person, die im Transparenzregister als wirtschaftlich Berechtigter eingetragen ist</t>
  </si>
  <si>
    <t>.Anteilseigner.Liste | arrays | .[] | select(.Informationen.IstBeteiligung==false and .Informationen.Typ==0).Beteiligungen[] |  select(.Informationen.IstBeteiligung==false and .Informationen.Typ==0)</t>
  </si>
  <si>
    <t>Fokusrechtseinheit.wirtschaftlichBerechtigte.transparenzregister[].person.titel</t>
  </si>
  <si>
    <t>academicTitle</t>
  </si>
  <si>
    <t>TITEL der natürlichen Person, die im Transparenzregister als wirtschaftlich Berechtigter eingetragen ist</t>
  </si>
  <si>
    <t>.Beteiligungen.Liste | arrays | .[] | select(.Informationen.IstBeteiligung==true and .Informationen.Typ==0).Informationen.UfId | numbers | "R" +  tostring</t>
  </si>
  <si>
    <t>Fokusrechtseinheit.wirtschaftlichBerechtigte.transparenzregister[].person.geburtDatum</t>
  </si>
  <si>
    <t>dateOfBirth</t>
  </si>
  <si>
    <t>GEBURTSDATUM der natürlichen Person, die im Transparenzregister als wirtschaftlich Berechtigter eingetragen ist</t>
  </si>
  <si>
    <t>.Beteiligungen.Liste | arrays | .[] | select(.Informationen.IstBeteiligung==true and .Informationen.Typ==0).Informationen.AnteilDirekt | numbers | tostring</t>
  </si>
  <si>
    <t>Fokusrechtseinheit.wirtschaftlichBerechtigte.transparenzregister[].person.staatsangehoerigkeit</t>
  </si>
  <si>
    <t>citizenship</t>
  </si>
  <si>
    <t>STAATSANGEHÖRIGKEIT der natürlichen Person, die im Transparenzregister als wirtschaftlich Berechtigter eingetragen ist</t>
  </si>
  <si>
    <t>.Beteiligungen.Liste | arrays | .[] | select(.Informationen.IstBeteiligung==true and .Informationen.Typ==0).Informationen.Kapitalanteil | numbers | tostring</t>
  </si>
  <si>
    <t>Fokusrechtseinheit.wirtschaftlichBerechtigte.transparenzregister[].person.domicile.stadt</t>
  </si>
  <si>
    <t>STADT der Domiziladresse der natürlichen Person, die im Transparenzregister als wirtschaftlich Berechtigter eingetragen ist</t>
  </si>
  <si>
    <t>.Beteiligungen.Liste | arrays | .[] | select(.Informationen.IstBeteiligung==true and .Informationen.Typ==0).Informationen.KapitalanteilWaehrung | strings</t>
  </si>
  <si>
    <t>Fokusrechtseinheit.wirtschaftlichBerechtigte.transparenzregister[].person.domicile.land</t>
  </si>
  <si>
    <t>LAND der Domiziladresse der natürlichen Person, die im Transparenzregister als wirtschaftlich Berechtigter eingetragen ist</t>
  </si>
  <si>
    <t>.Beteiligungen.Liste | arrays | .[] | select(.Informationen.IstBeteiligung==true and .Informationen.Typ==0).Informationen.KapitalanteilInEuro | numbers | tostring</t>
  </si>
  <si>
    <t>Fokusrechtseinheit.wirtschaftlichBerechtigte.transparenzregister[].interesseArt</t>
  </si>
  <si>
    <t>interestType</t>
  </si>
  <si>
    <t>ART des wirtschaftlichen Interesses der natürlichen Person, die im Transparenzregister als wirtschaftlich Berechtigter eingetragen ist</t>
  </si>
  <si>
    <t>.Beteiligungen.Liste | arrays | .[] | select(.Informationen.IstBeteiligung==true and .Informationen.Typ==0).Informationen.KapitalanteilInEuro | numbers | "EUR"</t>
  </si>
  <si>
    <t>Fokusrechtseinheit.wirtschaftlichBerechtigte.transparenzregister[].interesseUmfang</t>
  </si>
  <si>
    <t>interestScope</t>
  </si>
  <si>
    <t>UMFANG des wirtschaftlichen Interesses der natürlichen Person, die im Transparenzregister als wirtschaftlich Berechtigter eingetragen ist</t>
  </si>
  <si>
    <t>.Beteiligungen.Liste | arrays | .[] | select(.Informationen.IstBeteiligung==true and .Informationen.Typ==0).Informationen.istDirekteBeteiligung | booleans</t>
  </si>
  <si>
    <t>Fokusrechtseinheit.funktionstraegerNatuerlichePerson[]</t>
  </si>
  <si>
    <t>legalRepresentative</t>
  </si>
  <si>
    <t>LegalRepresentative</t>
  </si>
  <si>
    <t>.Mutter.UfId | numbers | "R" +  tostring</t>
  </si>
  <si>
    <t>Fokusrechtseinheit.funktionstraegerNatuerlichePerson[].id</t>
  </si>
  <si>
    <t>Die eindeutige Kennung des Bundesanzeigers zur Identifizierung einer natürlichen Person, die Funktionsträger ist</t>
  </si>
  <si>
    <t>.UltimativeMutter.UfId | numbers | "R" +  tostring</t>
  </si>
  <si>
    <t>Fokusrechtseinheit.funktionstraegerNatuerlichePerson[].anrede</t>
  </si>
  <si>
    <t>salutation</t>
  </si>
  <si>
    <t>ANREDE der natürlichen Person, die in den amtlichen Registern eingetragen ist</t>
  </si>
  <si>
    <t>.MetaInformationen?.HierarchieNichtPruefbar</t>
  </si>
  <si>
    <t>Fokusrechtseinheit.funktionstraegerNatuerlichePerson[].vorname</t>
  </si>
  <si>
    <t>VORNAME der natürlichen Person, die in den amtlichen Registern eingetragen ist</t>
  </si>
  <si>
    <t>.HandoverFlagRechtseinheit == null</t>
  </si>
  <si>
    <t>Fokusrechtseinheit.funktionstraegerNatuerlichePerson[].nachname</t>
  </si>
  <si>
    <t>NACHNAME der natürlichen Person, die in den amtlichen Registern eingetragen ist</t>
  </si>
  <si>
    <t>.HandoverFlagRechtseinheit</t>
  </si>
  <si>
    <t>Fokusrechtseinheit.funktionstraegerNatuerlichePerson[].titel</t>
  </si>
  <si>
    <t>TITEL der natürlichen Person, die in den amtlichen Registern eingetragen ist</t>
  </si>
  <si>
    <t>.MetaInformationen?.Auftraege?[]? | select (.AuftragId==$auftragId).RechercheAbbruchInformation.RechercheAbbruchGruende</t>
  </si>
  <si>
    <t>Fokusrechtseinheit.funktionstraegerNatuerlichePerson[].geburtDatum</t>
  </si>
  <si>
    <t>GEBURTSDATUM der natürlichen Person, die in den amtlichen Registern eingetragen ist</t>
  </si>
  <si>
    <t>.MetaInformationen?.Auftraege?[]? | select (.AuftragId==$auftragId).RechercheAbbruchInformation.RecherchierteUfId | numbers | "R" +  tostring</t>
  </si>
  <si>
    <t>Fokusrechtseinheit.funktionstraegerNatuerlichePerson[].nationalitaet</t>
  </si>
  <si>
    <t>STAATSANGEHÖRIGKEIT der natürlichen Person, die in den amtlichen Registern eingetragen ist</t>
  </si>
  <si>
    <t>.MetaInformationen?.Auftraege?[]? | select (.AuftragId==$auftragId).RechercheAbbruchInformation | if (.RechercheAbbruchGruende | index("Firma hat Nachfolger")) then .Rechtsnachfolgegrund else empty end | strings</t>
  </si>
  <si>
    <t>Fokusrechtseinheit.funktionstraegerNatuerlichePerson[].staatsangehoerigkeit[]</t>
  </si>
  <si>
    <t>Auftrag</t>
  </si>
  <si>
    <t>Fokusrechtseinheit.funktionstraegerNatuerlichePerson[].funktionen[].rolle</t>
  </si>
  <si>
    <t>role</t>
  </si>
  <si>
    <t>CorporateRole</t>
  </si>
  <si>
    <t>Die Rolle des natürlichen Funktionsträgers innerhalb der Organisation</t>
  </si>
  <si>
    <t>Fokusrechtseinheit.funktionstraegerNatuerlichePerson[].funktionen[].istVertretungsberechtigt</t>
  </si>
  <si>
    <t>TBD (implied by typeOfRepresentation)</t>
  </si>
  <si>
    <t>Angabe, ob der natürliche Funktionsträger im Namen des Unternehmens unterschreiben kann</t>
  </si>
  <si>
    <t>Fokusrechtseinheit.funktionstraegerNatuerlichePerson[].funktionen[].istAusschlusVonParagraph181</t>
  </si>
  <si>
    <t>isExemptFromSection181</t>
  </si>
  <si>
    <t>Angabe, ob der natürliche Funktionsträger berechtigt ist, eigenständig Verträge für das Tochterunternehmen abzuschließen</t>
  </si>
  <si>
    <t>Fokusrechtseinheit.funktionstraegerNatuerlichePerson[].funktionen[].vetretungsberechtigungUmfang</t>
  </si>
  <si>
    <t>typeOfRepresentation</t>
  </si>
  <si>
    <t>TypeOfRepresentation</t>
  </si>
  <si>
    <t>Angabe, ob der natürliche Funktionsträger alleine oder gemeinsam im Namen des Unternehmens unterschreiben kann</t>
  </si>
  <si>
    <t>Fokusrechtseinheit.funktionstraegerNatuerlichePerson[].funktionen[].eintrittDatum</t>
  </si>
  <si>
    <t>entryDate</t>
  </si>
  <si>
    <t>Eintrittsdatum des natürlichen Funktionsträgers</t>
  </si>
  <si>
    <t>.BearbeitungsHinweise</t>
  </si>
  <si>
    <t>Fokusrechtseinheit.funktionstraegerNatuerlichePerson[].funktionen[].austrittDatum</t>
  </si>
  <si>
    <t>exitDate</t>
  </si>
  <si>
    <t>Austrittsdatum des natürlichen Funktionsträgers</t>
  </si>
  <si>
    <t>Fokusrechtseinheit.funktionstraegerJuristischePerson[]</t>
  </si>
  <si>
    <t>Rule</t>
  </si>
  <si>
    <t>Fokusrechtseinheit.funktionstraegerJuristischePerson[].id</t>
  </si>
  <si>
    <t>Die eindeutige Kennung des Bundesanzeigers zur Identifizierung einer juristischen Person, die Funktionsträger ist</t>
  </si>
  <si>
    <t>Fokusrechtseinheit.funktionstraegerJuristischePerson[].funktionen[].rolle</t>
  </si>
  <si>
    <t>Die Rolle des juristischen Funktionsträgers innerhalb der Organisation</t>
  </si>
  <si>
    <t>Fokusrechtseinheit.funktionstraegerJuristischePerson[].funktionen[].istVertretungsberechtigt</t>
  </si>
  <si>
    <t>Angabe, ob der juristische Funktionsträger im Namen des Unternehmens unterschreiben kann</t>
  </si>
  <si>
    <t>Fokusrechtseinheit.funktionstraegerJuristischePerson[].funktionen[].istAusschlusVonParagraph181</t>
  </si>
  <si>
    <t>Angabe, ob der juristische Funktionsträger berechtigt ist, eigenständig Verträge für das Tochterunternehmen abzuschließen</t>
  </si>
  <si>
    <t>Fokusrechtseinheit.funktionstraegerJuristischePerson[].funktionen[].vetretungsberechtigungUmfang</t>
  </si>
  <si>
    <t>Angabe, ob der juristische Funktionsträger alleine oder gemeinsam im Namen des Unternehmens unterschreiben kann</t>
  </si>
  <si>
    <t>Fokusrechtseinheit.funktionstraegerJuristischePerson[].funktionen[].eintrittDatum</t>
  </si>
  <si>
    <t>Eintrittsdatum des juristischen Funktionsträgers</t>
  </si>
  <si>
    <t>Fokusrechtseinheit.funktionstraegerJuristischePerson[].funktionen[].austrittDatum</t>
  </si>
  <si>
    <t>Austrittsdatum des juristischen Funktionsträgers</t>
  </si>
  <si>
    <t>.Stammdaten.Liste | arrays | .[] | select(.Eigenschaft=="Haus Nummer").Wert | strings</t>
  </si>
  <si>
    <t>Fokusrechtseinheit.anteilseignerNatuerlichePerson[]</t>
  </si>
  <si>
    <t>shareholder</t>
  </si>
  <si>
    <t>NaturalPersonShareholder</t>
  </si>
  <si>
    <t>Fokusrechtseinheit.anteilseignerNatuerlichePerson[].id</t>
  </si>
  <si>
    <t>Die eindeutige Identifikationsnummer für die natürliche Person, die Anteilseigner ist</t>
  </si>
  <si>
    <t>Fokusrechtseinheit.anteilseignerNatuerlichePerson[].anteil</t>
  </si>
  <si>
    <t>Shareholder</t>
  </si>
  <si>
    <t>Fokusrechtseinheit.anteilseignerNatuerlichePerson[].anteil.anteilRelativ</t>
  </si>
  <si>
    <t>Gesamtprozentsatz der Anteile, die direkt und indirekt vom natürlichen Anteilseigner an dem Unternehmen gehalten werden</t>
  </si>
  <si>
    <t>Fokusrechtseinheit.anteilseignerNatuerlichePerson[].anteil.anteilAbsolut</t>
  </si>
  <si>
    <t>Fokusrechtseinheit.anteilseignerNatuerlichePerson[].anteil.anteilAbsolut.betrag</t>
  </si>
  <si>
    <t>Gesamtwert der Anteile, die direkt und indirekt vom natürlichen Anteilseigner an dem Unternehmen gehalten werden</t>
  </si>
  <si>
    <t>Fokusrechtseinheit.anteilseignerNatuerlichePerson[].anteil.anteilAbsolut.waehrung</t>
  </si>
  <si>
    <t>Fokusrechtseinheit.anteilseignerNatuerlichePerson[].anteil.anteilAbsolutInEUR</t>
  </si>
  <si>
    <t>Fokusrechtseinheit.anteilseignerNatuerlichePerson[].anteil.anteilAbsolutInEUR.betrag</t>
  </si>
  <si>
    <t>Gesamtwert der vom natürlichen Anteilseigner direkt und indirekt an dem Unternehmen gehaltenen Anteile in EUR</t>
  </si>
  <si>
    <t>Fokusrechtseinheit.anteilseignerNatuerlichePerson[].anteil.anteilAbsolutInEUR.waehrung</t>
  </si>
  <si>
    <t>Fokusrechtseinheit.anteilseignerNatuerlichePerson[].anteil.stimmrechteRelativ</t>
  </si>
  <si>
    <t>Gesamtprozentsatz der Stimmrechte am Unternehmen, die vom natürlichen Anteilseigner gehalten werden</t>
  </si>
  <si>
    <t>Fokusrechtseinheit.anteilseignerNatuerlichePerson[].anteil.istDirekteBeteiligung</t>
  </si>
  <si>
    <t>Angabe, ob die natürliche Person ein direkter Anteilseigner ist</t>
  </si>
  <si>
    <t>Fokusrechtseinheit.anteilseignerNatuerlichePerson[].anteilAnFokusEntlangZweig</t>
  </si>
  <si>
    <t>shareInFocusAlongBranch</t>
  </si>
  <si>
    <t>ShareInFocus</t>
  </si>
  <si>
    <t>Fokusrechtseinheit.anteilseignerNatuerlichePerson[].anteilAnFokusEntlangZweig.standard</t>
  </si>
  <si>
    <t>ShareVotingPair</t>
  </si>
  <si>
    <t>Fokusrechtseinheit.anteilseignerNatuerlichePerson[].anteilAnFokusEntlangZweig.standard.anteilRelativ</t>
  </si>
  <si>
    <t>Relativer Kapitalanteil der Person an der Fokusrechtseinheit bei Betrachtung des Stranges</t>
  </si>
  <si>
    <t>Fokusrechtseinheit.anteilseignerNatuerlichePerson[].anteilAnFokusEntlangZweig.standard.stimmrechteRelativ</t>
  </si>
  <si>
    <t>Relativer Stimmrechtsanteil der Person an der Fokusrechtseinheit bei Betrachtung des Stranges</t>
  </si>
  <si>
    <t>Fokusrechtseinheit.anteilseignerNatuerlichePerson[].anteilAnFokusEntlangZweig.accG10</t>
  </si>
  <si>
    <t>Fokusrechtseinheit.anteilseignerNatuerlichePerson[].anteilAnFokusEntlangZweig.accG10.anteilRelativ</t>
  </si>
  <si>
    <t>Fokusrechtseinheit.anteilseignerNatuerlichePerson[].anteilAnFokusEntlangZweig.accG10.stimmrechteRelativ</t>
  </si>
  <si>
    <t>Fokusrechtseinheit.anteilseignerNatuerlichePerson[].anteilAnFokusEntlangZweig.accG25</t>
  </si>
  <si>
    <t>Fokusrechtseinheit.anteilseignerNatuerlichePerson[].anteilAnFokusEntlangZweig.accG25.anteilRelativ</t>
  </si>
  <si>
    <t>.Stammdaten.Liste | arrays | .[] | select(.Eigenschaft=="Vorheriger Name").Wert | strings</t>
  </si>
  <si>
    <t>Fokusrechtseinheit.anteilseignerNatuerlichePerson[].anteilAnFokusEntlangZweig.accG25.stimmrechteRelativ</t>
  </si>
  <si>
    <t>Fokusrechtseinheit.anteilseignerNatuerlichePerson[].anteilAnFokusEntlangZweig.dom10</t>
  </si>
  <si>
    <t>Fokusrechtseinheit.anteilseignerNatuerlichePerson[].anteilAnFokusEntlangZweig.dom10.anteilRelativ</t>
  </si>
  <si>
    <t>Fokusrechtseinheit.anteilseignerNatuerlichePerson[].anteilAnFokusEntlangZweig.dom10.stimmrechteRelativ</t>
  </si>
  <si>
    <t>Fokusrechtseinheit.anteilseignerNatuerlichePerson[].anteilAnFokusEntlangZweig.dom25</t>
  </si>
  <si>
    <t>Fokusrechtseinheit.anteilseignerNatuerlichePerson[].anteilAnFokusEntlangZweig.dom25.anteilRelativ</t>
  </si>
  <si>
    <t>Fokusrechtseinheit.anteilseignerNatuerlichePerson[].anteilAnFokusEntlangZweig.dom25.stimmrechteRelativ</t>
  </si>
  <si>
    <t>Fokusrechtseinheit.anteilseignerNatuerlichePerson[].anteilAnFokusTotal</t>
  </si>
  <si>
    <t>shareInFocusTotal</t>
  </si>
  <si>
    <t>Fokusrechtseinheit.anteilseignerNatuerlichePerson[].anteilAnFokusTotal.standard</t>
  </si>
  <si>
    <t>.Stammdaten.Liste | arrays | .[] | select(.Eigenschaft=="ErsteintragungsDatum ").Wert | strings</t>
  </si>
  <si>
    <t>Fokusrechtseinheit.anteilseignerNatuerlichePerson[].anteilAnFokusTotal.standard.anteilRelativ</t>
  </si>
  <si>
    <t>Relativer Kapitalanteil der Person an der Fokusrechtseinheit bei Betrachtung der kompletten Struktur</t>
  </si>
  <si>
    <t>Fokusrechtseinheit.anteilseignerNatuerlichePerson[].anteilAnFokusTotal.standard.stimmrechteRelativ</t>
  </si>
  <si>
    <t>Relativer Stimmrechtsanteil der Person an der Fokusrechtseinheit bei Betrachtung der kompletten Struktur</t>
  </si>
  <si>
    <t>Fokusrechtseinheit.anteilseignerNatuerlichePerson[].anteilAnFokusTotal.accG10</t>
  </si>
  <si>
    <t>Fokusrechtseinheit.anteilseignerNatuerlichePerson[].anteilAnFokusTotal.accG10.anteilRelativ</t>
  </si>
  <si>
    <t>Fokusrechtseinheit.anteilseignerNatuerlichePerson[].anteilAnFokusTotal.accG10.stimmrechteRelativ</t>
  </si>
  <si>
    <t>Fokusrechtseinheit.anteilseignerNatuerlichePerson[].anteilAnFokusTotal.accG25</t>
  </si>
  <si>
    <t>Fokusrechtseinheit.anteilseignerNatuerlichePerson[].anteilAnFokusTotal.accG25.anteilRelativ</t>
  </si>
  <si>
    <t>Fokusrechtseinheit.anteilseignerNatuerlichePerson[].anteilAnFokusTotal.accG25.stimmrechteRelativ</t>
  </si>
  <si>
    <t>Fokusrechtseinheit.anteilseignerNatuerlichePerson[].anteilAnFokusTotal.dom10</t>
  </si>
  <si>
    <t>Fokusrechtseinheit.anteilseignerNatuerlichePerson[].anteilAnFokusTotal.dom10.anteilRelativ</t>
  </si>
  <si>
    <t>Fokusrechtseinheit.anteilseignerNatuerlichePerson[].anteilAnFokusTotal.dom10.stimmrechteRelativ</t>
  </si>
  <si>
    <t>.Stammdaten.Liste | if (.[] | select(.Eigenschaft=="BaFin-Id").Wert | numbers) then (.[] | select(.Eigenschaft=="BaFin-GattungId").Wert | numbers) else empty end</t>
  </si>
  <si>
    <t>Fokusrechtseinheit.anteilseignerNatuerlichePerson[].anteilAnFokusTotal.dom25</t>
  </si>
  <si>
    <t>Fokusrechtseinheit.anteilseignerNatuerlichePerson[].anteilAnFokusTotal.dom25.anteilRelativ</t>
  </si>
  <si>
    <t>Fokusrechtseinheit.anteilseignerNatuerlichePerson[].anteilAnFokusTotal.dom25.stimmrechteRelativ</t>
  </si>
  <si>
    <t>Fokusrechtseinheit.anteilseignerNatuerlichePerson[].stimmrechteRelativ</t>
  </si>
  <si>
    <t>Fokusrechtseinheit.anteilseignerJuristischePerson[]</t>
  </si>
  <si>
    <t>LegalPersonShareholder</t>
  </si>
  <si>
    <t>Fokusrechtseinheit.anteilseignerJuristischePerson[].id</t>
  </si>
  <si>
    <t>Die eindeutige Identifikationsnummer für die juristische Person, die Anteilseigner ist</t>
  </si>
  <si>
    <t>Fokusrechtseinheit.anteilseignerJuristischePerson[].anteil</t>
  </si>
  <si>
    <t>Fokusrechtseinheit.anteilseignerJuristischePerson[].anteil.anteilRelativ</t>
  </si>
  <si>
    <t>Gesamtprozentsatz der Anteile, die direkt und indirekt vom juristischen Anteilseigner an dem Unternehmen gehalten werden</t>
  </si>
  <si>
    <t>Fokusrechtseinheit.anteilseignerJuristischePerson[].anteil.anteilAbsolut</t>
  </si>
  <si>
    <t>Fokusrechtseinheit.anteilseignerJuristischePerson[].anteil.anteilAbsolut.betrag</t>
  </si>
  <si>
    <t>Gesamtwert der Anteile, die direkt und indirekt vom juristischen Anteilseigner an dem Unternehmen gehalten werden</t>
  </si>
  <si>
    <t>Fokusrechtseinheit.anteilseignerJuristischePerson[].anteil.anteilAbsolut.waehrung</t>
  </si>
  <si>
    <t>Fokusrechtseinheit.anteilseignerJuristischePerson[].anteil.anteilAbsolutInEUR</t>
  </si>
  <si>
    <t>Fokusrechtseinheit.anteilseignerJuristischePerson[].anteil.anteilAbsolutInEUR.betrag</t>
  </si>
  <si>
    <t>Gesamtwert der vom juristischen Anteilseigner direkt und indirekt an dem Unternehmen gehaltenen Anteile in EUR</t>
  </si>
  <si>
    <t>Fokusrechtseinheit.anteilseignerJuristischePerson[].anteil.anteilAbsolutInEUR.waehrung</t>
  </si>
  <si>
    <t>Fokusrechtseinheit.anteilseignerJuristischePerson[].anteil.stimmrechteRelativ</t>
  </si>
  <si>
    <t>Gesamtprozentsatz der Stimmrechte am Unternehmen, die vom juristischen Anteilseigner gehalten werden</t>
  </si>
  <si>
    <t>Fokusrechtseinheit.anteilseignerJuristischePerson[].anteil.istDirekteBeteiligung</t>
  </si>
  <si>
    <t>Angabe, ob die juristische Person ein direkter Anteilseigner ist</t>
  </si>
  <si>
    <t>Fokusrechtseinheit.anteilseignerJuristischePerson[].anteilAnFokusEntlangZweig</t>
  </si>
  <si>
    <t>Fokusrechtseinheit.anteilseignerJuristischePerson[].anteilAnFokusEntlangZweig.standard</t>
  </si>
  <si>
    <t>Fokusrechtseinheit.anteilseignerJuristischePerson[].anteilAnFokusEntlangZweig.standard.anteilRelativ</t>
  </si>
  <si>
    <t>Relativer Kapitalanteil des Unternehmens an der Fokusrechtseinheit bei Betrachtung des Stranges</t>
  </si>
  <si>
    <t>Fokusrechtseinheit.anteilseignerJuristischePerson[].anteilAnFokusEntlangZweig.standard.stimmrechteRelativ</t>
  </si>
  <si>
    <t>Relativer Stimmrechtsanteil des Unternehmens an der Fokusrechtseinheit bei Betrachtung des Stranges</t>
  </si>
  <si>
    <t>Fokusrechtseinheit.anteilseignerJuristischePerson[].anteilAnFokusEntlangZweig.accG10</t>
  </si>
  <si>
    <t>Fokusrechtseinheit.anteilseignerJuristischePerson[].anteilAnFokusEntlangZweig.accG10.anteilRelativ</t>
  </si>
  <si>
    <t>Fokusrechtseinheit.anteilseignerJuristischePerson[].anteilAnFokusEntlangZweig.accG10.stimmrechteRelativ</t>
  </si>
  <si>
    <t>Fokusrechtseinheit.anteilseignerJuristischePerson[].anteilAnFokusEntlangZweig.accG25</t>
  </si>
  <si>
    <t>Fokusrechtseinheit.anteilseignerJuristischePerson[].anteilAnFokusEntlangZweig.accG25.anteilRelativ</t>
  </si>
  <si>
    <t>.UfId | numbers | "P" +  tostring</t>
  </si>
  <si>
    <t>Fokusrechtseinheit.anteilseignerJuristischePerson[].anteilAnFokusEntlangZweig.accG25.stimmrechteRelativ</t>
  </si>
  <si>
    <t>.Anrede | strings</t>
  </si>
  <si>
    <t>Fokusrechtseinheit.anteilseignerJuristischePerson[].anteilAnFokusEntlangZweig.dom10</t>
  </si>
  <si>
    <t>.Vorname | strings</t>
  </si>
  <si>
    <t>Fokusrechtseinheit.anteilseignerJuristischePerson[].anteilAnFokusEntlangZweig.dom10.anteilRelativ</t>
  </si>
  <si>
    <t>.Nachname | strings</t>
  </si>
  <si>
    <t>Fokusrechtseinheit.anteilseignerJuristischePerson[].anteilAnFokusEntlangZweig.dom10.stimmrechteRelativ</t>
  </si>
  <si>
    <t>.Titel | strings</t>
  </si>
  <si>
    <t>Fokusrechtseinheit.anteilseignerJuristischePerson[].anteilAnFokusEntlangZweig.dom25</t>
  </si>
  <si>
    <t>.Geburtstag | strings</t>
  </si>
  <si>
    <t>Fokusrechtseinheit.anteilseignerJuristischePerson[].anteilAnFokusEntlangZweig.dom25.anteilRelativ</t>
  </si>
  <si>
    <t>.Nationalitaet | strings</t>
  </si>
  <si>
    <t>Fokusrechtseinheit.anteilseignerJuristischePerson[].anteilAnFokusEntlangZweig.dom25.stimmrechteRelativ</t>
  </si>
  <si>
    <t>Fokusrechtseinheit.anteilseignerJuristischePerson[].anteilAnFokusTotal</t>
  </si>
  <si>
    <t>Fokusrechtseinheit.anteilseignerJuristischePerson[].anteilAnFokusTotal.standard</t>
  </si>
  <si>
    <t>Fokusrechtseinheit.anteilseignerJuristischePerson[].anteilAnFokusTotal.standard.anteilRelativ</t>
  </si>
  <si>
    <t>Relativer Kapitalanteil des Unternehmens an der Fokusrechtseinheit bei Betrachtung der kompletten Struktur</t>
  </si>
  <si>
    <t>Fokusrechtseinheit.anteilseignerJuristischePerson[].anteilAnFokusTotal.standard.stimmrechteRelativ</t>
  </si>
  <si>
    <t>Relativer Stimmrechtsanteil des Unternehmens an der Fokusrechtseinheit bei Betrachtung der kompletten Struktur</t>
  </si>
  <si>
    <t>Fokusrechtseinheit.anteilseignerJuristischePerson[].anteilAnFokusTotal.accG10</t>
  </si>
  <si>
    <t>Fokusrechtseinheit.anteilseignerJuristischePerson[].anteilAnFokusTotal.accG10.anteilRelativ</t>
  </si>
  <si>
    <t>Fokusrechtseinheit.anteilseignerJuristischePerson[].anteilAnFokusTotal.accG10.stimmrechteRelativ</t>
  </si>
  <si>
    <t>Fokusrechtseinheit.anteilseignerJuristischePerson[].anteilAnFokusTotal.accG25</t>
  </si>
  <si>
    <t>Fokusrechtseinheit.anteilseignerJuristischePerson[].anteilAnFokusTotal.accG25.anteilRelativ</t>
  </si>
  <si>
    <t>.Strasse | strings</t>
  </si>
  <si>
    <t>Fokusrechtseinheit.anteilseignerJuristischePerson[].anteilAnFokusTotal.accG25.stimmrechteRelativ</t>
  </si>
  <si>
    <t>.Hausnummer | strings</t>
  </si>
  <si>
    <t>Fokusrechtseinheit.anteilseignerJuristischePerson[].anteilAnFokusTotal.dom10</t>
  </si>
  <si>
    <t>Fokusrechtseinheit.anteilseignerJuristischePerson[].anteilAnFokusTotal.dom10.anteilRelativ</t>
  </si>
  <si>
    <t>.PLZ | strings</t>
  </si>
  <si>
    <t>Fokusrechtseinheit.anteilseignerJuristischePerson[].anteilAnFokusTotal.dom10.stimmrechteRelativ</t>
  </si>
  <si>
    <t>.Stadt | strings</t>
  </si>
  <si>
    <t>Fokusrechtseinheit.anteilseignerJuristischePerson[].anteilAnFokusTotal.dom25</t>
  </si>
  <si>
    <t>Fokusrechtseinheit.anteilseignerJuristischePerson[].anteilAnFokusTotal.dom25.anteilRelativ</t>
  </si>
  <si>
    <t>.Land | strings</t>
  </si>
  <si>
    <t>Fokusrechtseinheit.anteilseignerJuristischePerson[].anteilAnFokusTotal.dom25.stimmrechteRelativ</t>
  </si>
  <si>
    <t>Fokusrechtseinheit.anteilseignerJuristischePerson[].stimmrechteRelativ</t>
  </si>
  <si>
    <t>Fokusrechtseinheit.anteilseignerJuristischePerson[].handover</t>
  </si>
  <si>
    <t>handover</t>
  </si>
  <si>
    <t>Indikator, ob die KYC-Recherche an diesem juristischen Anteilseigner manuell fortgesetzt werden muss</t>
  </si>
  <si>
    <t>Fokusrechtseinheit.anteilseignerJuristischePerson[].handoverBeschreibung</t>
  </si>
  <si>
    <t>handoverDescription</t>
  </si>
  <si>
    <t xml:space="preserve">Begründung, weshalb eine KYC-Analyse nicht fortgesetzt werden kann </t>
  </si>
  <si>
    <t>Fokusrechtseinheit.anteilseignerJuristischePerson[].anteilseignerNatuerlichePerson[]</t>
  </si>
  <si>
    <t>Darstellung der Kapital- und Kontrollstruktur</t>
  </si>
  <si>
    <t>Fokusrechtseinheit.anteilseignerJuristischePerson[].anteilseignerJuristischePerson[]</t>
  </si>
  <si>
    <t>Fokusrechtseinheit.anteilseignerJuristischePerson[].komplementaereNatuerlichePerson[]</t>
  </si>
  <si>
    <t>Fokusrechtseinheit.anteilseignerJuristischePerson[].komplementaereJuristischePerson[]</t>
  </si>
  <si>
    <t>Fokusrechtseinheit.komplementaereNatuerlichePerson[]</t>
  </si>
  <si>
    <t>generalPartnerHolding</t>
  </si>
  <si>
    <t>NaturalPersonGeneralPartnerHolding</t>
  </si>
  <si>
    <t>Fokusrechtseinheit.komplementaereNatuerlichePerson[].id</t>
  </si>
  <si>
    <t>Die eindeutige Identifikationsnummer für die natürliche Person, die Komplementär ist</t>
  </si>
  <si>
    <t>Fokusrechtseinheit.komplementaereNatuerlichePerson[].anteil</t>
  </si>
  <si>
    <t>GeneralPartnerHolding</t>
  </si>
  <si>
    <t>Fokusrechtseinheit.komplementaereNatuerlichePerson[].anteil.anteilRelativ</t>
  </si>
  <si>
    <t>Gesamtprozentsatz der Anteile, die direkt und indirekt vom natürlichen Komplementär an dem Unternehmen gehalten werden</t>
  </si>
  <si>
    <t>Fokusrechtseinheit.komplementaereNatuerlichePerson[].anteil.anteilAbsolut</t>
  </si>
  <si>
    <t>Fokusrechtseinheit.komplementaereNatuerlichePerson[].anteil.anteilAbsolut.betrag</t>
  </si>
  <si>
    <t>Gesamtwert der Anteile, die direkt und indirekt vom natürlichen Komplementär an dem Unternehmen gehalten werden</t>
  </si>
  <si>
    <t>Fokusrechtseinheit.komplementaereNatuerlichePerson[].anteil.anteilAbsolut.waehrung</t>
  </si>
  <si>
    <t>Fokusrechtseinheit.komplementaereNatuerlichePerson[].anteil.anteilAbsolutInEUR</t>
  </si>
  <si>
    <t>Fokusrechtseinheit.komplementaereNatuerlichePerson[].anteil.anteilAbsolutInEUR.betrag</t>
  </si>
  <si>
    <t>Gesamtwert der vom natürlichen Komplementär direkt und indirekt an dem Unternehmen gehaltenen Anteile in EUR</t>
  </si>
  <si>
    <t>Fokusrechtseinheit.komplementaereNatuerlichePerson[].anteil.anteilAbsolutInEUR.waehrung</t>
  </si>
  <si>
    <t>Fokusrechtseinheit.komplementaereNatuerlichePerson[].anteil.istDirekteBeteiligung</t>
  </si>
  <si>
    <t>Sicherstellung, dass der natürliche Komplementär kein Anteilseigner ist</t>
  </si>
  <si>
    <t>Fokusrechtseinheit.komplementaereNatuerlichePerson[].stimmrechteRelativ</t>
  </si>
  <si>
    <t>Gesamtprozentsatz der Stimmrechte am Unternehmen, die direkt oder indirekt vom natürlichen Komplementär gehalten werden</t>
  </si>
  <si>
    <t>Fokusrechtseinheit.komplementaereJuristischePerson[]</t>
  </si>
  <si>
    <t>LegalPersonGeneralPartnerHolding</t>
  </si>
  <si>
    <t>Fokusrechtseinheit.komplementaereJuristischePerson[].id</t>
  </si>
  <si>
    <t>Die eindeutige Identifikationsnummer für die juristische Person, die Komplementär ist</t>
  </si>
  <si>
    <t>Fokusrechtseinheit.komplementaereJuristischePerson[].anteil</t>
  </si>
  <si>
    <t>Fokusrechtseinheit.komplementaereJuristischePerson[].anteil.anteilRelativ</t>
  </si>
  <si>
    <t>Gesamtprozentsatz der Anteile, die direkt und indirekt vom juristischen Komplementär an dem Unternehmen gehalten werden</t>
  </si>
  <si>
    <t>Fokusrechtseinheit.komplementaereJuristischePerson[].anteil.anteilAbsolut</t>
  </si>
  <si>
    <t>Fokusrechtseinheit.komplementaereJuristischePerson[].anteil.anteilAbsolut.betrag</t>
  </si>
  <si>
    <t>Gesamtwert der Anteile, die direkt und indirekt vom juristischen Komplementär an dem Unternehmen gehalten werden</t>
  </si>
  <si>
    <t>Fokusrechtseinheit.komplementaereJuristischePerson[].anteil.anteilAbsolut.waehrung</t>
  </si>
  <si>
    <t>Fokusrechtseinheit.komplementaereJuristischePerson[].anteil.anteilAbsolutInEUR</t>
  </si>
  <si>
    <t>Fokusrechtseinheit.komplementaereJuristischePerson[].anteil.anteilAbsolutInEUR.betrag</t>
  </si>
  <si>
    <t>Gesamtwert der vom juristischen Komplementär direkt und indirekt an dem Unternehmen gehaltenen Anteile in EUR</t>
  </si>
  <si>
    <t>Fokusrechtseinheit.komplementaereJuristischePerson[].anteil.anteilAbsolutInEUR.waehrung</t>
  </si>
  <si>
    <t>Fokusrechtseinheit.komplementaereJuristischePerson[].anteil.istDirekteBeteiligung</t>
  </si>
  <si>
    <t>Sicherstellung, dass der juristische Komplementär kein Anteilseigner ist</t>
  </si>
  <si>
    <t>Fokusrechtseinheit.komplementaereJuristischePerson[].stimmrechteRelativ</t>
  </si>
  <si>
    <t>Gesamtprozentsatz der Stimmrechte am Unternehmen, die direkt oder indirekt vom juristischen Komplementär gehalten werden</t>
  </si>
  <si>
    <t>Fokusrechtseinheit.komplementaereJuristischePerson[].handover</t>
  </si>
  <si>
    <t>Indikator, ob die KYC-Recherche an dieser juristischen Person manuell fortgesetzt werden muss</t>
  </si>
  <si>
    <t>Fokusrechtseinheit.komplementaereJuristischePerson[].handoverBeschreibung</t>
  </si>
  <si>
    <t>Fokusrechtseinheit.komplementaereJuristischePerson[].anteilseignerNatuerlichePerson[]</t>
  </si>
  <si>
    <t>Fokusrechtseinheit.komplementaereJuristischePerson[].anteilseignerJuristischePerson[]</t>
  </si>
  <si>
    <t>Fokusrechtseinheit.komplementaereJuristischePerson[].komplementaereNatuerlichePerson[]</t>
  </si>
  <si>
    <t>Fokusrechtseinheit.komplementaereJuristischePerson[].komplementaereJuristischePerson[]</t>
  </si>
  <si>
    <t>Fokusrechtseinheit.beteiligungenJuristischePerson[]</t>
  </si>
  <si>
    <t>participation</t>
  </si>
  <si>
    <t>Participation</t>
  </si>
  <si>
    <t>Fokusrechtseinheit.beteiligungenJuristischePerson[].id</t>
  </si>
  <si>
    <t>Die eindeutige Identifikationsnummer der Rechtseinheit, an der die Fokusrechtseinheit beteiligt ist</t>
  </si>
  <si>
    <t>Fokusrechtseinheit.beteiligungenJuristischePerson[].beteiligung</t>
  </si>
  <si>
    <t>Fokusrechtseinheit.beteiligungenJuristischePerson[].beteiligung.anteilRelativ</t>
  </si>
  <si>
    <t>Der relative Anteil der Beteiligung der Fokusrechtseinheit</t>
  </si>
  <si>
    <t>Fokusrechtseinheit.beteiligungenJuristischePerson[].beteiligung.anteilAbsolut</t>
  </si>
  <si>
    <t>Fokusrechtseinheit.beteiligungenJuristischePerson[].beteiligung.anteilAbsolut.betrag</t>
  </si>
  <si>
    <t>Der absolute Betrag der Beteiligung der Fokusrechtseinheit</t>
  </si>
  <si>
    <t>Fokusrechtseinheit.beteiligungenJuristischePerson[].beteiligung.anteilAbsolut.waehrung</t>
  </si>
  <si>
    <t>Die Währung der Beteiligung der Fokusrechtseinheit</t>
  </si>
  <si>
    <t>Fokusrechtseinheit.beteiligungenJuristischePerson[].beteiligung.anteilAbsolutInEUR</t>
  </si>
  <si>
    <t>Fokusrechtseinheit.beteiligungenJuristischePerson[].beteiligung.anteilAbsolutInEUR.betrag</t>
  </si>
  <si>
    <t>Die absolute Betrag der Beteiligung der Fokusrechtseinheit in EUR</t>
  </si>
  <si>
    <t>Fokusrechtseinheit.beteiligungenJuristischePerson[].beteiligung.anteilAbsolutInEUR.waehrung</t>
  </si>
  <si>
    <t>Die EUR-Währung der Beteiligung der Fokusrechtseinheit</t>
  </si>
  <si>
    <t>Fokusrechtseinheit.beteiligungenJuristischePerson[].beteiligung.istDirekteBeteiligung</t>
  </si>
  <si>
    <t>Sicherstellung, dass die Fokusrechtseinheit kein Komplementär ist</t>
  </si>
  <si>
    <t>Fokusrechtseinheit.direkteMuttergesellschaft</t>
  </si>
  <si>
    <t>directParent</t>
  </si>
  <si>
    <t>Fokusrechtseinheit.direkteMuttergesellschaft.id</t>
  </si>
  <si>
    <t>Die eindeutige Identifikationsnummer, die vom Bundesanzeiger Verlag bereitgestellt wird, um die direkte Muttergesellschaft zu identifizieren</t>
  </si>
  <si>
    <t>Fokusrechtseinheit.obersteMuttergesellschaft</t>
  </si>
  <si>
    <t>ultimateParent</t>
  </si>
  <si>
    <t>Fokusrechtseinheit.obersteMuttergesellschaft.id</t>
  </si>
  <si>
    <t>Die eindeutige Identifikationsnummer, die vom Bundesanzeiger Verlag bereitgestellt wird, um die oberste Muttergesellschaft zu identifizieren</t>
  </si>
  <si>
    <t>Fokusrechtseinheit.handoverFlag</t>
  </si>
  <si>
    <t>handoverFlag</t>
  </si>
  <si>
    <t>Aussage über die vollständige bzw. nicht-vollständige Prüfung hinsichtlich der wirtschaftlich Berechtigten der Fokusrechtseinheit</t>
  </si>
  <si>
    <t>Fokusrechtseinheit.handover</t>
  </si>
  <si>
    <t>Indikator, ob die KYC-Recherche an der Fokusrechtseinheit manuell fortgesetzt werden muss</t>
  </si>
  <si>
    <t>Fokusrechtseinheit.handoverBeschreibung</t>
  </si>
  <si>
    <t>Fokusrechtseinheit.auftragRechercheAbbruchGruende[]</t>
  </si>
  <si>
    <t>researchTerminationReason</t>
  </si>
  <si>
    <t>Grund, warum eine Recherche abgebrochen werden musste (z. B. Unternehmen inaktiv, Unternehmen zu groß usw.)</t>
  </si>
  <si>
    <t>Fokusrechtseinheit.auftragRecherchierteIds[]</t>
  </si>
  <si>
    <t>researchedSuccessorId</t>
  </si>
  <si>
    <t>Nachfolger-ID, wenn ein bestelltes Unternehmen inaktiv war und wir einen/mehrere Nachfolger identifizieren können</t>
  </si>
  <si>
    <t>Fokusrechtseinheit.auftragRechtsnachfolgegrund</t>
  </si>
  <si>
    <t>legalSuccessionReason</t>
  </si>
  <si>
    <t>Grund der Rechtsnachfolge (Sitzverlegung, Formwandlung, …)</t>
  </si>
  <si>
    <t>Fokusrechtseinheit.transparenzregisterAuszug</t>
  </si>
  <si>
    <t>transparencyRegisterExtract</t>
  </si>
  <si>
    <t>TransparencyRegisterExtract</t>
  </si>
  <si>
    <t>Fokusrechtseinheit.transparenzregisterAuszug.antragsnummer</t>
  </si>
  <si>
    <t>applicationNumber</t>
  </si>
  <si>
    <t>Vorgangsnummer, welche seitens Transparenzregister für den Antrag auf Einsichtnahme (d. h. beim Abruf eines Transparenzregisterauszuges) vergeben wird. Diese Nummer dient auch der Zuordnung im Rahmen einer möglichen Unstimmigkeitsmeldung.</t>
  </si>
  <si>
    <t>Fokusrechtseinheit.transparenzregisterAuszug.referenznummer</t>
  </si>
  <si>
    <t>referenceNumber</t>
  </si>
  <si>
    <t>Kennzeichnung eines Transparenzregisterauszuges. Sie referenziert die Transparenzregisterauszüge zu einer Rechtseinheit untereinander, wenn aufgrund chronologischer Berichtigungen mehrere Transparenzregisterauszüge zur Verfügung stehen (z. B. durch Berichtigungen der Daten der wirtschaftlich Berechtigten)</t>
  </si>
  <si>
    <t>Fokusrechtseinheit.transparenzregisterAuszug.hatVermerkUnstimmigkeitsmeldung</t>
  </si>
  <si>
    <t>hasDiscrepancyNote</t>
  </si>
  <si>
    <t>Vermerk auf dem Transparenzregisterauszug, dass zum Zeitpunkt des Abrufs eine Unstimmigkeitsmeldung zur abgerufenen Rechtseinheit seitens des Transparenzregister bearbeitet wird</t>
  </si>
  <si>
    <t>Fokusrechtseinheit.transparenzregisterAuszug.gueltigVonDatum</t>
  </si>
  <si>
    <t>validFromDate</t>
  </si>
  <si>
    <t xml:space="preserve">Kennzeichnet auf dem Transparenzregisterauszug den Zeitpunkt, ab dem die eingetragenen natürlichen Personen die Funktion als wirtschaftlich Berechtigte ausüben </t>
  </si>
  <si>
    <t>Fokusrechtseinheit.transparenzregisterAuszug.grundFiktiveWb</t>
  </si>
  <si>
    <t>fictitiousBoReason</t>
  </si>
  <si>
    <t xml:space="preserve">Begründung, weshalb die gesetzlichen Vertreter als wirtschaftlich Berechtigte zum Fokusunternehmen gemeldet wurden </t>
  </si>
  <si>
    <t>Fokusrechtseinheit.transparenzregisterAuszug.bearbeitungshinweis[]</t>
  </si>
  <si>
    <t>processingNote</t>
  </si>
  <si>
    <t xml:space="preserve">Kennzeichnet, dass eine Besonderheit beim Fokusunternehmen vorliegt, welche im Rahmen der weiteren Bearbeitung beachtet werden muss </t>
  </si>
  <si>
    <t>Fokusrechtseinheit.transparenzregisterAuszug.unstimmigkeitsmeldungsnummer</t>
  </si>
  <si>
    <t>discrepancyReportNumber</t>
  </si>
  <si>
    <t>Vorgangsnummer, die seitens des Transparenzregisters für eine Unstimmigkeitsmeldung vergeben wird</t>
  </si>
  <si>
    <t>Fokusrechtseinheit.nachweise[]</t>
  </si>
  <si>
    <t>evidence</t>
  </si>
  <si>
    <t>KycEvidence</t>
  </si>
  <si>
    <t>Fokusrechtseinheit.nachweise[].quelle</t>
  </si>
  <si>
    <t>evidenceSource</t>
  </si>
  <si>
    <t>Quelle der Prüfung</t>
  </si>
  <si>
    <t>Fokusrechtseinheit.nachweise[].nachgewieseneFelder</t>
  </si>
  <si>
    <t>provenClaim</t>
  </si>
  <si>
    <t>Feld, das in der JSON-Datei identifiziert werden soll</t>
  </si>
  <si>
    <t>Fokusrechtseinheit.nachweise[].pruefDatum</t>
  </si>
  <si>
    <t>verificationDate</t>
  </si>
  <si>
    <t>Datum der Prüfung</t>
  </si>
  <si>
    <t>Rechtseinheit.id</t>
  </si>
  <si>
    <t>BANZ-Identifikationsnummer der juristischen Person</t>
  </si>
  <si>
    <t>Rechtseinheit.name</t>
  </si>
  <si>
    <t>Der Name des gesetzlichen Vertreters, wie er in den offiziellen Unternehmensregistern eingetragen ist, wenn der gesetzliche Vertreter keine natürliche Person ist</t>
  </si>
  <si>
    <t>Rechtseinheit.firmenKennziffer</t>
  </si>
  <si>
    <t>Interne Prüfnummer vom Bundesanzeiger Verlag zu dem zu prüfenden Unternehmen bzw. der zu prüfenden Entität</t>
  </si>
  <si>
    <t>Rechtseinheit.rechtseinheit.adressen.register</t>
  </si>
  <si>
    <t>Rechtseinheit.rechtseinheit.adressen.register.strasse</t>
  </si>
  <si>
    <t>Rechtseinheit.rechtseinheit.adressen.register.hausNummer</t>
  </si>
  <si>
    <t>Rechtseinheit.rechtseinheit.adressen.register.hausNummerZusatz</t>
  </si>
  <si>
    <t>concatinated to hausNummer</t>
  </si>
  <si>
    <t>Rechtseinheit.rechtseinheit.adressen.register.plz</t>
  </si>
  <si>
    <t>Rechtseinheit.rechtseinheit.adressen.register.stadt</t>
  </si>
  <si>
    <t>Rechtseinheit.rechtseinheit.adressen.register.bundesland</t>
  </si>
  <si>
    <t>Rechtseinheit.rechtseinheit.adressen.register.land</t>
  </si>
  <si>
    <t>Rechtseinheit.rechtseinheit.adressen.register.adressZusatz</t>
  </si>
  <si>
    <t>Rechtseinheit.rechtseinheit.adressen.domicile</t>
  </si>
  <si>
    <t>Rechtseinheit.rechtseinheit.adressen.domicile.strasse</t>
  </si>
  <si>
    <t>Rechtseinheit.rechtseinheit.adressen.domicile.hausNummer</t>
  </si>
  <si>
    <t>Rechtseinheit.rechtseinheit.adressen.domicile.hausNummerZusatz</t>
  </si>
  <si>
    <t>Rechtseinheit.rechtseinheit.adressen.domicile.plz</t>
  </si>
  <si>
    <t>Rechtseinheit.rechtseinheit.adressen.domicile.stadt</t>
  </si>
  <si>
    <t>Rechtseinheit.rechtseinheit.adressen.domicile.bundesland</t>
  </si>
  <si>
    <t>Rechtseinheit.rechtseinheit.adressen.domicile.land</t>
  </si>
  <si>
    <t>Rechtseinheit.rechtseinheit.adressen.domicile.adressZusatz</t>
  </si>
  <si>
    <t>Rechtseinheit.registerIdentifikation</t>
  </si>
  <si>
    <t>Rechtseinheit.registerIdentifikation.registerArt</t>
  </si>
  <si>
    <t>Art des Registers, in dem die Rechtseinheit registriert ist</t>
  </si>
  <si>
    <t>Rechtseinheit.registerIdentifikation.registerArtBeschreibung</t>
  </si>
  <si>
    <t>Klassifizierung der Registerart</t>
  </si>
  <si>
    <t>Rechtseinheit.registerIdentifikation.registerOrt</t>
  </si>
  <si>
    <t>Der Name des Amtsgerichts, bei dem das Unternehmen registriert ist</t>
  </si>
  <si>
    <t>Rechtseinheit.registerIdentifikation.registerNummer</t>
  </si>
  <si>
    <t>Offizielle Identifikationsnummer des Amtsgericht, bei dem das Unternehmen registriert ist</t>
  </si>
  <si>
    <t>Rechtseinheit.registerIdentifikation.companyId</t>
  </si>
  <si>
    <t>Rechtseinheit.registerIdentifikation.companyIdCountryCode</t>
  </si>
  <si>
    <t>Code des Landes für die Identifikationsnummer des Unternehmens im Register (Ausland)</t>
  </si>
  <si>
    <t>Rechtseinheit.vorherigeNamen[].vorherigerName</t>
  </si>
  <si>
    <t>Vorheriger registrierter Name des Unternehmens</t>
  </si>
  <si>
    <t>Rechtseinheit.status</t>
  </si>
  <si>
    <t>Aktivitätsstatus des Unternehmens</t>
  </si>
  <si>
    <t>Rechtseinheit.liquidationStatus</t>
  </si>
  <si>
    <t>Liquidationsstatus des Unternehmens</t>
  </si>
  <si>
    <t>Rechtseinheit.insolvenzStatus</t>
  </si>
  <si>
    <t>Insolvenzstatus des Unternehmens</t>
  </si>
  <si>
    <t>Rechtseinheit.rechtsform</t>
  </si>
  <si>
    <t>Rechtsform des Unternehmens</t>
  </si>
  <si>
    <t>Rechtseinheit.istStiftung</t>
  </si>
  <si>
    <t>Entitätstyp: Stiftung. Gibt an, ob das Unternehmen eine Stiftung ist</t>
  </si>
  <si>
    <t>Rechtseinheit.istNfrdPflichtig</t>
  </si>
  <si>
    <t>Gibt an, ob das Unternehmen Nfrd-pflichtig ist</t>
  </si>
  <si>
    <t>Rechtseinheit.istTreuhand</t>
  </si>
  <si>
    <t>Entitätstyp: Trust. Gibt an, ob es sich bei der Entität um einen Trust handelt</t>
  </si>
  <si>
    <t>Rechtseinheit.gegenstand</t>
  </si>
  <si>
    <t xml:space="preserve">Beschreibung der Art des Geschäfts des Unternehmens, einschließlich der Art und des Zwecks </t>
  </si>
  <si>
    <t>Rechtseinheit.eintragungDatum</t>
  </si>
  <si>
    <t>Rechtseinheit.boersen[]</t>
  </si>
  <si>
    <t>Rechtseinheit.boersen[].boerse</t>
  </si>
  <si>
    <t>Rechtseinheit.boersen[].boerse.name</t>
  </si>
  <si>
    <t>Name der Börse der Rechtseinheit</t>
  </si>
  <si>
    <t>Rechtseinheit.boersen[].boerse.land</t>
  </si>
  <si>
    <t>Land der Börse der Rechtseinheit</t>
  </si>
  <si>
    <t>Rechtseinheit.boersen[].boerse.marktIdentifikationCode</t>
  </si>
  <si>
    <t>Rechtseinheit.boersen[].marktIdentifikationCode</t>
  </si>
  <si>
    <t>Rechtseinheit.boersen[].tickerSymbol</t>
  </si>
  <si>
    <t>Börsentickersymbol der Rechtseinheit</t>
  </si>
  <si>
    <t>Rechtseinheit.isin</t>
  </si>
  <si>
    <t>Internationale Wertpapierkennnummer zu eindeutig identifiziertem Wertpapier der Rechtseinheit</t>
  </si>
  <si>
    <t>Rechtseinheit.ustid</t>
  </si>
  <si>
    <t>Umsatzsteuer-Identifikationsnummer der Rechtseinheit</t>
  </si>
  <si>
    <t>Rechtseinheit.gesellschaftArt</t>
  </si>
  <si>
    <t>Gesellschaftsart der Rechtseinheit</t>
  </si>
  <si>
    <t>Rechtseinheit.regulatoren[]</t>
  </si>
  <si>
    <t>Rechtseinheit.regulatoren[].name</t>
  </si>
  <si>
    <t>Rechtseinheit.regulatoren[].reguliertenId</t>
  </si>
  <si>
    <t>Rechtseinheit.regulatoren[].beschreibungen[].beschreibung</t>
  </si>
  <si>
    <t>Rechtseinheit.stichtag</t>
  </si>
  <si>
    <t>Rechtseinheit.kapital</t>
  </si>
  <si>
    <t>Rechtseinheit.kapital.betrag</t>
  </si>
  <si>
    <t>Gezeichnetes Kapital der Rechtseinheit</t>
  </si>
  <si>
    <t>Rechtseinheit.kapital.waehrung</t>
  </si>
  <si>
    <t>Währung des gezeichneten Kapitals der Rechtseinheit</t>
  </si>
  <si>
    <t>Rechtseinheit.branchen.wz2003[].code</t>
  </si>
  <si>
    <t>Rechtseinheit.branchen.wz2003[].beschreibung</t>
  </si>
  <si>
    <t>Rechtseinheit.branchen.wz2008[].code</t>
  </si>
  <si>
    <t>Rechtseinheit.branchen.wz2008[].beschreibung</t>
  </si>
  <si>
    <t>Rechtseinheit.branchen.nace020[].code</t>
  </si>
  <si>
    <t>Rechtseinheit.branchen.nace020[].beschreibung</t>
  </si>
  <si>
    <t>Rechtseinheit.branchen.sic1987[].code</t>
  </si>
  <si>
    <t>Rechtseinheit.branchen.sic1987[].beschreibung</t>
  </si>
  <si>
    <t>Rechtseinheit.branchen.naics2002[].code</t>
  </si>
  <si>
    <t>Rechtseinheit.branchen.naics2002[].beschreibung</t>
  </si>
  <si>
    <t>Rechtseinheit.webseite</t>
  </si>
  <si>
    <t>Website der Rechtseinheit</t>
  </si>
  <si>
    <t>Rechtseinheit.telefon</t>
  </si>
  <si>
    <t>Telefonnummer der Rechtseinheit</t>
  </si>
  <si>
    <t>Rechtseinheit.telefax</t>
  </si>
  <si>
    <t>Telefaxnummer der Rechtseinheit</t>
  </si>
  <si>
    <t>Rechtseinheit.lei</t>
  </si>
  <si>
    <t>Rechtseinheit.istAmOrganisiertenMarkt</t>
  </si>
  <si>
    <t>Rechtseinheit.leiStatus</t>
  </si>
  <si>
    <t>Rechtseinheit.leiNaechsteAusstellung</t>
  </si>
  <si>
    <t>Rechtseinheit.euid</t>
  </si>
  <si>
    <t>Rechtseinheit.nachweise[]</t>
  </si>
  <si>
    <t>Rechtseinheit.nachweise[].quelle</t>
  </si>
  <si>
    <t>Rechtseinheit.nachweise[].nachgewieseneFelder[]</t>
  </si>
  <si>
    <t>Rechtseinheit.nachweise[].pruefDatum</t>
  </si>
  <si>
    <t>Person.id</t>
  </si>
  <si>
    <t>Die eindeutige Identifikationsnummer, die vom Bundesanzeiger Verlag bereitgestellt wird und die natürliche Person als Teil des KYC-Service identifiziert</t>
  </si>
  <si>
    <t>Person.anrede</t>
  </si>
  <si>
    <t>Person.vorname</t>
  </si>
  <si>
    <t>Person.nachname</t>
  </si>
  <si>
    <t>Person.titel</t>
  </si>
  <si>
    <t>Person.geburtDatum</t>
  </si>
  <si>
    <t>Person.nationalitaet</t>
  </si>
  <si>
    <t>Person.staatsangehoerigkeit[]</t>
  </si>
  <si>
    <t>Person.adressen.register</t>
  </si>
  <si>
    <t>Person.adressen.register.strasse</t>
  </si>
  <si>
    <t>STRASSE - Adresse der Person gemäß der Adresse im offiziellen Register</t>
  </si>
  <si>
    <t>Person.adressen.register.hausNummer</t>
  </si>
  <si>
    <t>HAUSNUMMER - Adresse der Person gemäß der Adresse im offiziellen Register</t>
  </si>
  <si>
    <t>Person.adressen.register.hausNummerZusatz</t>
  </si>
  <si>
    <t>ADRESSSUFFIX  - Adresse der Person gemäß der Adresse im offiziellen Register</t>
  </si>
  <si>
    <t>Person.adressen.register.plz</t>
  </si>
  <si>
    <t>POSTLEITZAHL - Adresse der Person gemäß der Adresse im offiziellen Register</t>
  </si>
  <si>
    <t>Person.adressen.register.stadt</t>
  </si>
  <si>
    <t>STADT - Adresse der Person gemäß der Adresse im offiziellen Register</t>
  </si>
  <si>
    <t>Person.adressen.register.bundesland</t>
  </si>
  <si>
    <t>BUNDESLAND - Adresse der Person gemäß der Adresse im offiziellen Register</t>
  </si>
  <si>
    <t>Person.adressen.register.land</t>
  </si>
  <si>
    <t>LAND - Adresse der Person gemäß der Adresse im offiziellen Register</t>
  </si>
  <si>
    <t>Person.adressen.register.adressZusatz</t>
  </si>
  <si>
    <t>ADRESSZUSATZINFORMATIONEN (c/o) - Adresse der Person gemäß der Adresse im offiziellen Register</t>
  </si>
  <si>
    <t>Person.adressen.domicile</t>
  </si>
  <si>
    <t>Person.adressen.domicile.strasse</t>
  </si>
  <si>
    <t>STRASSE - Domiziladresse der natürlichen Person, nur ausgefüllt, sofern in primärer Quelle verfügbar</t>
  </si>
  <si>
    <t>Person.adressen.domicile.hausNummer</t>
  </si>
  <si>
    <t>HAUSNUMMER - Domiziladresse der natürlichen Person, nur ausgefüllt, sofern in primärer Quelle verfügbar</t>
  </si>
  <si>
    <t>Person.adressen.domicile.hausNummerZusatz</t>
  </si>
  <si>
    <t>ADRESSSUFFIX  - Domiziladresse der natürlichen Person, nur ausgefüllt, sofern in primärer Quelle verfügbar</t>
  </si>
  <si>
    <t>Person.adressen.domicile.plz</t>
  </si>
  <si>
    <t>POSTLEITZAHL - Domiziladresse der natürlichen Person, nur ausgefüllt, sofern in primärer Quelle verfügbar</t>
  </si>
  <si>
    <t>Person.adressen.domicile.stadt</t>
  </si>
  <si>
    <t>STADT - Domiziladresse der natürlichen Person, nur ausgefüllt, sofern in primärer Quelle verfügbar</t>
  </si>
  <si>
    <t>Person.adressen.domicile.bundesland</t>
  </si>
  <si>
    <t>BUNDESLAND - Domiziladresse der natürlichen Person, nur ausgefüllt, sofern in primärer Quelle verfügbar</t>
  </si>
  <si>
    <t>Person.adressen.domicile.land</t>
  </si>
  <si>
    <t>LAND - Domiziladresse der natürlichen Person, nur ausgefüllt, sofern in primärer Quelle verfügbar</t>
  </si>
  <si>
    <t>Person.adressen.domicile.adressZusatz</t>
  </si>
  <si>
    <t>ADRESSZUSATZINFORMATIONEN (c/o) - Domiziladresse der natürlichen Person, nur ausgefüllt, sofern in primärer Quelle verfügbar</t>
  </si>
  <si>
    <t>IsoNummer</t>
  </si>
  <si>
    <t>.Wert</t>
  </si>
  <si>
    <t>Output</t>
  </si>
  <si>
    <t>Afghanistan</t>
  </si>
  <si>
    <t>AF</t>
  </si>
  <si>
    <t>Ägypten</t>
  </si>
  <si>
    <t>EG</t>
  </si>
  <si>
    <t>Åland</t>
  </si>
  <si>
    <t>AX</t>
  </si>
  <si>
    <t>Albanien</t>
  </si>
  <si>
    <t>AL</t>
  </si>
  <si>
    <t>Algerien</t>
  </si>
  <si>
    <t>DZ</t>
  </si>
  <si>
    <t>Amerikanisch-Samoa</t>
  </si>
  <si>
    <t>AS</t>
  </si>
  <si>
    <t>Andorra</t>
  </si>
  <si>
    <t>AD</t>
  </si>
  <si>
    <t>Angola</t>
  </si>
  <si>
    <t>AO</t>
  </si>
  <si>
    <t>Anguilla</t>
  </si>
  <si>
    <t>AI</t>
  </si>
  <si>
    <t>Antarktika</t>
  </si>
  <si>
    <t>AQ</t>
  </si>
  <si>
    <t>Antigua und Barbuda</t>
  </si>
  <si>
    <t>AG</t>
  </si>
  <si>
    <t>Äquatorialguinea</t>
  </si>
  <si>
    <t>GQ</t>
  </si>
  <si>
    <t>Argentinien</t>
  </si>
  <si>
    <t>AR</t>
  </si>
  <si>
    <t>Armenien</t>
  </si>
  <si>
    <t>AM</t>
  </si>
  <si>
    <t>Aruba</t>
  </si>
  <si>
    <t>AW</t>
  </si>
  <si>
    <t>Aserbaidschan</t>
  </si>
  <si>
    <t>AZ</t>
  </si>
  <si>
    <t>Äthiopien</t>
  </si>
  <si>
    <t>ET</t>
  </si>
  <si>
    <t>Australien</t>
  </si>
  <si>
    <t>AU</t>
  </si>
  <si>
    <t>Bahamas</t>
  </si>
  <si>
    <t>BS</t>
  </si>
  <si>
    <t>Bahrein</t>
  </si>
  <si>
    <t>BH</t>
  </si>
  <si>
    <t>Bangladesch</t>
  </si>
  <si>
    <t>BD</t>
  </si>
  <si>
    <t>Barbados</t>
  </si>
  <si>
    <t>BB</t>
  </si>
  <si>
    <t>Belgien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</si>
  <si>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</si>
  <si>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</si>
  <si>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</si>
  <si>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</si>
  <si>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</si>
  <si>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</si>
  <si>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</si>
  <si>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</si>
  <si>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</si>
  <si>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Bolivien</t>
  </si>
  <si>
    <t>BO</t>
  </si>
  <si>
    <t>Bonaire, Sint Eustatius und Saba</t>
  </si>
  <si>
    <t>BQ</t>
  </si>
  <si>
    <t>Bosnien Herzegowina</t>
  </si>
  <si>
    <t>BA</t>
  </si>
  <si>
    <t>Botswana</t>
  </si>
  <si>
    <t>BW</t>
  </si>
  <si>
    <t>Bouvetinsel</t>
  </si>
  <si>
    <t>BV</t>
  </si>
  <si>
    <t>Brasilien</t>
  </si>
  <si>
    <t>BR</t>
  </si>
  <si>
    <t>Britisches Territorium im Indischen Ozean</t>
  </si>
  <si>
    <t>IO</t>
  </si>
  <si>
    <t>Brunei Darussalam</t>
  </si>
  <si>
    <t>BN</t>
  </si>
  <si>
    <t>Bulgarien</t>
  </si>
  <si>
    <t>BG</t>
  </si>
  <si>
    <t>Burkina Faso</t>
  </si>
  <si>
    <t>BF</t>
  </si>
  <si>
    <t>Burundi</t>
  </si>
  <si>
    <t>BI</t>
  </si>
  <si>
    <t>Cayman Islands</t>
  </si>
  <si>
    <t>KY</t>
  </si>
  <si>
    <t>Chile</t>
  </si>
  <si>
    <t>CL</t>
  </si>
  <si>
    <t>China</t>
  </si>
  <si>
    <t>CN</t>
  </si>
  <si>
    <t>Cookinseln</t>
  </si>
  <si>
    <t>CK</t>
  </si>
  <si>
    <t>Costa Rica</t>
  </si>
  <si>
    <t>CR</t>
  </si>
  <si>
    <t>Curaçao</t>
  </si>
  <si>
    <t>CW</t>
  </si>
  <si>
    <t>Dänemark</t>
  </si>
  <si>
    <t>DK</t>
  </si>
  <si>
    <t>Demokratische Republik Kongo</t>
  </si>
  <si>
    <t>CD</t>
  </si>
  <si>
    <t>Deutschland</t>
  </si>
  <si>
    <t>DE</t>
  </si>
  <si>
    <t>Dominica</t>
  </si>
  <si>
    <t>DM</t>
  </si>
  <si>
    <t>Dominikanische Republik</t>
  </si>
  <si>
    <t>DO</t>
  </si>
  <si>
    <t>Dschibuti</t>
  </si>
  <si>
    <t>DJ</t>
  </si>
  <si>
    <t>Ecuador</t>
  </si>
  <si>
    <t>EC</t>
  </si>
  <si>
    <t>El Salvador</t>
  </si>
  <si>
    <t>SV</t>
  </si>
  <si>
    <t>Elfenbeinküste</t>
  </si>
  <si>
    <t>CI</t>
  </si>
  <si>
    <t>Eritrea</t>
  </si>
  <si>
    <t>ER</t>
  </si>
  <si>
    <t>Estland</t>
  </si>
  <si>
    <t>EE</t>
  </si>
  <si>
    <t>Falklandinseln</t>
  </si>
  <si>
    <t>FK</t>
  </si>
  <si>
    <t>Färöer-Inseln</t>
  </si>
  <si>
    <t>FO</t>
  </si>
  <si>
    <t>Fidschi</t>
  </si>
  <si>
    <t>FJ</t>
  </si>
  <si>
    <t>Finnland</t>
  </si>
  <si>
    <t>FI</t>
  </si>
  <si>
    <t>Frankreich</t>
  </si>
  <si>
    <t>FR</t>
  </si>
  <si>
    <t>Französische Süd- und Antarktisgebiete</t>
  </si>
  <si>
    <t>TF</t>
  </si>
  <si>
    <t>Französisch-Guayana</t>
  </si>
  <si>
    <t>GF</t>
  </si>
  <si>
    <t>Französisch-Polynesien</t>
  </si>
  <si>
    <t>PF</t>
  </si>
  <si>
    <t>Gabun</t>
  </si>
  <si>
    <t>GA</t>
  </si>
  <si>
    <t>Gambia</t>
  </si>
  <si>
    <t>GM</t>
  </si>
  <si>
    <t>Georgien</t>
  </si>
  <si>
    <t>GE</t>
  </si>
  <si>
    <t>Ghana</t>
  </si>
  <si>
    <t>GH</t>
  </si>
  <si>
    <t>Gibraltar</t>
  </si>
  <si>
    <t>GI</t>
  </si>
  <si>
    <t>Grenada</t>
  </si>
  <si>
    <t>GD</t>
  </si>
  <si>
    <t>Griechenland</t>
  </si>
  <si>
    <t>GR</t>
  </si>
  <si>
    <t>Grönland</t>
  </si>
  <si>
    <t>GL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</si>
  <si>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</si>
  <si>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</si>
  <si>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</si>
  <si>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</si>
  <si>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</si>
  <si>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</si>
  <si>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</si>
  <si>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</si>
  <si>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</si>
  <si>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</si>
  <si>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</si>
  <si>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</si>
  <si>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</si>
  <si>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</si>
  <si>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</si>
  <si>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</si>
  <si>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und McDonaldinseln</t>
  </si>
  <si>
    <t>HM</t>
  </si>
  <si>
    <t>Honduras</t>
  </si>
  <si>
    <t>HN</t>
  </si>
  <si>
    <t>Hong Kong</t>
  </si>
  <si>
    <t>HK</t>
  </si>
  <si>
    <t>Indien</t>
  </si>
  <si>
    <t>IN</t>
  </si>
  <si>
    <t>Indonesien</t>
  </si>
  <si>
    <t>ID</t>
  </si>
  <si>
    <t>Irak</t>
  </si>
  <si>
    <t>IQ</t>
  </si>
  <si>
    <t>Iran</t>
  </si>
  <si>
    <t>IR</t>
  </si>
  <si>
    <t>Irland</t>
  </si>
  <si>
    <t>IE</t>
  </si>
  <si>
    <t>Island</t>
  </si>
  <si>
    <t>IS</t>
  </si>
  <si>
    <t>Isle of Man</t>
  </si>
  <si>
    <t>IM</t>
  </si>
  <si>
    <t>Israel</t>
  </si>
  <si>
    <t>IL</t>
  </si>
  <si>
    <t>Italien</t>
  </si>
  <si>
    <t>IT</t>
  </si>
  <si>
    <t>Jamaika</t>
  </si>
  <si>
    <t>JM</t>
  </si>
  <si>
    <t>Japan</t>
  </si>
  <si>
    <t>JP</t>
  </si>
  <si>
    <t>Jemen</t>
  </si>
  <si>
    <t>YE</t>
  </si>
  <si>
    <t>Jersey</t>
  </si>
  <si>
    <t>JE</t>
  </si>
  <si>
    <t>Jordanien</t>
  </si>
  <si>
    <t>JO</t>
  </si>
  <si>
    <t>Britische Jungferninseln</t>
  </si>
  <si>
    <t>VG</t>
  </si>
  <si>
    <t>Amerikanische Jungferninseln</t>
  </si>
  <si>
    <t>VI</t>
  </si>
  <si>
    <t>Kambodscha</t>
  </si>
  <si>
    <t>KH</t>
  </si>
  <si>
    <t>Kamerun</t>
  </si>
  <si>
    <t>CM</t>
  </si>
  <si>
    <t>Kanada</t>
  </si>
  <si>
    <t>CA</t>
  </si>
  <si>
    <t>Kap Verde</t>
  </si>
  <si>
    <t>CV</t>
  </si>
  <si>
    <t>Kasachstan</t>
  </si>
  <si>
    <t>KZ</t>
  </si>
  <si>
    <t>Katar</t>
  </si>
  <si>
    <t>QA</t>
  </si>
  <si>
    <t>Kenia</t>
  </si>
  <si>
    <t>KE</t>
  </si>
  <si>
    <t>Kiribati</t>
  </si>
  <si>
    <t>KI</t>
  </si>
  <si>
    <t>Kokosinseln</t>
  </si>
  <si>
    <t>CC</t>
  </si>
  <si>
    <t>Kolumbien</t>
  </si>
  <si>
    <t>CO</t>
  </si>
  <si>
    <t>Komoren</t>
  </si>
  <si>
    <t>KM</t>
  </si>
  <si>
    <t>Kongo</t>
  </si>
  <si>
    <t>CG</t>
  </si>
  <si>
    <t>Kosovo</t>
  </si>
  <si>
    <t>XK</t>
  </si>
  <si>
    <t>Kroatien</t>
  </si>
  <si>
    <t>HR</t>
  </si>
  <si>
    <t>Kuba</t>
  </si>
  <si>
    <t>CU</t>
  </si>
  <si>
    <t>Kuwait</t>
  </si>
  <si>
    <t>KW</t>
  </si>
  <si>
    <t>Kyrgyzstan</t>
  </si>
  <si>
    <t>KG</t>
  </si>
  <si>
    <t>Laos</t>
  </si>
  <si>
    <t>LA</t>
  </si>
  <si>
    <t>Lesotho</t>
  </si>
  <si>
    <t>LS</t>
  </si>
  <si>
    <t>Lettland</t>
  </si>
  <si>
    <t>LV</t>
  </si>
  <si>
    <t>Libanon</t>
  </si>
  <si>
    <t>LB</t>
  </si>
  <si>
    <t>Liberia</t>
  </si>
  <si>
    <t>LR</t>
  </si>
  <si>
    <t>Libyen</t>
  </si>
  <si>
    <t>LY</t>
  </si>
  <si>
    <t>Liechtenstein</t>
  </si>
  <si>
    <t>LI</t>
  </si>
  <si>
    <t>Litauen</t>
  </si>
  <si>
    <t>LT</t>
  </si>
  <si>
    <t>Luxemburg</t>
  </si>
  <si>
    <t>LU</t>
  </si>
  <si>
    <t>Macau</t>
  </si>
  <si>
    <t>MO</t>
  </si>
  <si>
    <t>Madagaskar</t>
  </si>
  <si>
    <t>MG</t>
  </si>
  <si>
    <t>Malawi</t>
  </si>
  <si>
    <t>MW</t>
  </si>
  <si>
    <t>Malaysia</t>
  </si>
  <si>
    <t>MY</t>
  </si>
  <si>
    <t>Malediven</t>
  </si>
  <si>
    <t>MV</t>
  </si>
  <si>
    <t>Mali</t>
  </si>
  <si>
    <t>ML</t>
  </si>
  <si>
    <t>Malta</t>
  </si>
  <si>
    <t>MT</t>
  </si>
  <si>
    <t>Marokko</t>
  </si>
  <si>
    <t>MA</t>
  </si>
  <si>
    <t>Marshallinseln</t>
  </si>
  <si>
    <t>MH</t>
  </si>
  <si>
    <t>Martinique</t>
  </si>
  <si>
    <t>MQ</t>
  </si>
  <si>
    <t>Mauretanien</t>
  </si>
  <si>
    <t>MR</t>
  </si>
  <si>
    <t>Mauritius</t>
  </si>
  <si>
    <t>MU</t>
  </si>
  <si>
    <t>Mayotte</t>
  </si>
  <si>
    <t>YT</t>
  </si>
  <si>
    <t>Mazedonien</t>
  </si>
  <si>
    <t>MK</t>
  </si>
  <si>
    <t>Mexico</t>
  </si>
  <si>
    <t>MX</t>
  </si>
  <si>
    <t>Mikronesien</t>
  </si>
  <si>
    <t>FM</t>
  </si>
  <si>
    <t>Moldawien</t>
  </si>
  <si>
    <t>MD</t>
  </si>
  <si>
    <t>Monaco</t>
  </si>
  <si>
    <t>MC</t>
  </si>
  <si>
    <t>Mongolei</t>
  </si>
  <si>
    <t>MN</t>
  </si>
  <si>
    <t>Montenegro</t>
  </si>
  <si>
    <t>ME</t>
  </si>
  <si>
    <t>Montserrat</t>
  </si>
  <si>
    <t>MS</t>
  </si>
  <si>
    <t>Mosambik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</si>
  <si>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</si>
  <si>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</si>
  <si>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</si>
  <si>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</si>
  <si>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</si>
  <si>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</si>
  <si>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</si>
  <si>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</si>
  <si>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</si>
  <si>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Neukaledonien</t>
  </si>
  <si>
    <t>NC</t>
  </si>
  <si>
    <t>Neuseeland</t>
  </si>
  <si>
    <t>NZ</t>
  </si>
  <si>
    <t>Nicaragua</t>
  </si>
  <si>
    <t>NI</t>
  </si>
  <si>
    <t>Niederlande</t>
  </si>
  <si>
    <t>NL</t>
  </si>
  <si>
    <t>Niger</t>
  </si>
  <si>
    <t>NE</t>
  </si>
  <si>
    <t>Nigeria</t>
  </si>
  <si>
    <t>NG</t>
  </si>
  <si>
    <t>Niue</t>
  </si>
  <si>
    <t>NU</t>
  </si>
  <si>
    <t>Nordkorea</t>
  </si>
  <si>
    <t>KP</t>
  </si>
  <si>
    <t>Nördliche Marianen</t>
  </si>
  <si>
    <t>MP</t>
  </si>
  <si>
    <t>Norfolkinsel</t>
  </si>
  <si>
    <t>NF</t>
  </si>
  <si>
    <t>Norwegen</t>
  </si>
  <si>
    <t>NO</t>
  </si>
  <si>
    <t>Oman</t>
  </si>
  <si>
    <t>OM</t>
  </si>
  <si>
    <t>Österreich</t>
  </si>
  <si>
    <t>AT</t>
  </si>
  <si>
    <t>Osttimor</t>
  </si>
  <si>
    <t>TL</t>
  </si>
  <si>
    <t>Pakistan</t>
  </si>
  <si>
    <t>PK</t>
  </si>
  <si>
    <t>Palästina</t>
  </si>
  <si>
    <t>PS</t>
  </si>
  <si>
    <t>Palau</t>
  </si>
  <si>
    <t>PW</t>
  </si>
  <si>
    <t>Panama</t>
  </si>
  <si>
    <t>PA</t>
  </si>
  <si>
    <t>Papua-Neuguinea</t>
  </si>
  <si>
    <t>PG</t>
  </si>
  <si>
    <t>Paraguay</t>
  </si>
  <si>
    <t>PY</t>
  </si>
  <si>
    <t>Peru</t>
  </si>
  <si>
    <t>PE</t>
  </si>
  <si>
    <t>Philippinen</t>
  </si>
  <si>
    <t>PH</t>
  </si>
  <si>
    <t>Pitcairninseln</t>
  </si>
  <si>
    <t>PN</t>
  </si>
  <si>
    <t>Polen</t>
  </si>
  <si>
    <t>PL</t>
  </si>
  <si>
    <t>Portugal</t>
  </si>
  <si>
    <t>PT</t>
  </si>
  <si>
    <t>Puerto Rico</t>
  </si>
  <si>
    <t>PR</t>
  </si>
  <si>
    <t>Réunion</t>
  </si>
  <si>
    <t>RE</t>
  </si>
  <si>
    <t>Ruanda</t>
  </si>
  <si>
    <t>RW</t>
  </si>
  <si>
    <t>Rumänien</t>
  </si>
  <si>
    <t>RO</t>
  </si>
  <si>
    <t>Russland</t>
  </si>
  <si>
    <t>RU</t>
  </si>
  <si>
    <t>Saint Barthélemy</t>
  </si>
  <si>
    <t>BL</t>
  </si>
  <si>
    <t>Saint-Pierre und Miquelon</t>
  </si>
  <si>
    <t>PM</t>
  </si>
  <si>
    <t>Salomon-Inseln</t>
  </si>
  <si>
    <t>SB</t>
  </si>
  <si>
    <t>Sambia</t>
  </si>
  <si>
    <t>ZM</t>
  </si>
  <si>
    <t>Samoa</t>
  </si>
  <si>
    <t>WS</t>
  </si>
  <si>
    <t>San Marino</t>
  </si>
  <si>
    <t>SM</t>
  </si>
  <si>
    <t>São Tomé und Príncipe</t>
  </si>
  <si>
    <t>ST</t>
  </si>
  <si>
    <t>Saudi-Arabien</t>
  </si>
  <si>
    <t>SA</t>
  </si>
  <si>
    <t>Schweden</t>
  </si>
  <si>
    <t>SE</t>
  </si>
  <si>
    <t>Schweiz</t>
  </si>
  <si>
    <t>CH</t>
  </si>
  <si>
    <t>Senegal</t>
  </si>
  <si>
    <t>SN</t>
  </si>
  <si>
    <t>Serbien</t>
  </si>
  <si>
    <t>RS</t>
  </si>
  <si>
    <t>Seychellen</t>
  </si>
  <si>
    <t>SC</t>
  </si>
  <si>
    <t>Sierra Leone</t>
  </si>
  <si>
    <t>SL</t>
  </si>
  <si>
    <t>Simbabwe</t>
  </si>
  <si>
    <t>ZW</t>
  </si>
  <si>
    <t>Singapur</t>
  </si>
  <si>
    <t>SG</t>
  </si>
  <si>
    <t>Slowakei</t>
  </si>
  <si>
    <t>SK</t>
  </si>
  <si>
    <t>Slowenien</t>
  </si>
  <si>
    <t>SI</t>
  </si>
  <si>
    <t>Somalia</t>
  </si>
  <si>
    <t>SO</t>
  </si>
  <si>
    <t>Spanien</t>
  </si>
  <si>
    <t>ES</t>
  </si>
  <si>
    <t>Sri Lanka</t>
  </si>
  <si>
    <t>LK</t>
  </si>
  <si>
    <t>St. Helena, Ascension und Tristan da Cunha</t>
  </si>
  <si>
    <t>SH</t>
  </si>
  <si>
    <t>St. Kitts und Nevis</t>
  </si>
  <si>
    <t>KN</t>
  </si>
  <si>
    <t>St. Lucia</t>
  </si>
  <si>
    <t>LC</t>
  </si>
  <si>
    <t>Saint-Martin</t>
  </si>
  <si>
    <t>MF</t>
  </si>
  <si>
    <t>Sint Maarten</t>
  </si>
  <si>
    <t>SX</t>
  </si>
  <si>
    <t>St. Vincent und die Grenadinen</t>
  </si>
  <si>
    <t>VC</t>
  </si>
  <si>
    <t>Südafrika</t>
  </si>
  <si>
    <t>ZA</t>
  </si>
  <si>
    <t>Sudan</t>
  </si>
  <si>
    <t>SD</t>
  </si>
  <si>
    <t>Südgeorgien und die Südlichen Sandwichinseln</t>
  </si>
  <si>
    <t>GS</t>
  </si>
  <si>
    <t>Südkorea</t>
  </si>
  <si>
    <t>KR</t>
  </si>
  <si>
    <t>Südsudan</t>
  </si>
  <si>
    <t>SS</t>
  </si>
  <si>
    <t>Suriname</t>
  </si>
  <si>
    <t>SR</t>
  </si>
  <si>
    <t>Svalbard und Jan Mayen</t>
  </si>
  <si>
    <t>SJ</t>
  </si>
  <si>
    <t>Swasiland</t>
  </si>
  <si>
    <t>SZ</t>
  </si>
  <si>
    <t>Syrien</t>
  </si>
  <si>
    <t>SY</t>
  </si>
  <si>
    <t>Tadschikistan</t>
  </si>
  <si>
    <t>TJ</t>
  </si>
  <si>
    <t>Taiwan</t>
  </si>
  <si>
    <t>TW</t>
  </si>
  <si>
    <t>Tansania</t>
  </si>
  <si>
    <t>TZ</t>
  </si>
  <si>
    <t>Thailand</t>
  </si>
  <si>
    <t>TH</t>
  </si>
  <si>
    <t>Togo</t>
  </si>
  <si>
    <t>TG</t>
  </si>
  <si>
    <t>Tokelau</t>
  </si>
  <si>
    <t>TK</t>
  </si>
  <si>
    <t>Tonga</t>
  </si>
  <si>
    <t>TO</t>
  </si>
  <si>
    <t>Trinidad und Tobago</t>
  </si>
  <si>
    <t>TT</t>
  </si>
  <si>
    <t>Tschad</t>
  </si>
  <si>
    <t>TD</t>
  </si>
  <si>
    <t>Tschechien</t>
  </si>
  <si>
    <t>CZ</t>
  </si>
  <si>
    <t>Tunesien</t>
  </si>
  <si>
    <t>TN</t>
  </si>
  <si>
    <t>Türkei</t>
  </si>
  <si>
    <t>Turkmenistan</t>
  </si>
  <si>
    <t>TM</t>
  </si>
  <si>
    <t>Turks- und Caicosinseln</t>
  </si>
  <si>
    <t>TC</t>
  </si>
  <si>
    <t>Tuvalu</t>
  </si>
  <si>
    <t>TV</t>
  </si>
  <si>
    <t>Uganda</t>
  </si>
  <si>
    <t>UG</t>
  </si>
  <si>
    <t>Ukraine</t>
  </si>
  <si>
    <t>UA</t>
  </si>
  <si>
    <t>Ungarn</t>
  </si>
  <si>
    <t>HU</t>
  </si>
  <si>
    <t>United States Minor Outlying Islands</t>
  </si>
  <si>
    <t>UM</t>
  </si>
  <si>
    <t>Uruguay</t>
  </si>
  <si>
    <t>UY</t>
  </si>
  <si>
    <t>Usbekistan</t>
  </si>
  <si>
    <t>UZ</t>
  </si>
  <si>
    <t>Vanuatu</t>
  </si>
  <si>
    <t>VU</t>
  </si>
  <si>
    <t>Vatikanstadt</t>
  </si>
  <si>
    <t>VA</t>
  </si>
  <si>
    <t>Venezuela</t>
  </si>
  <si>
    <t>VE</t>
  </si>
  <si>
    <t>Vereinigte Arabische Emirate</t>
  </si>
  <si>
    <t>AE</t>
  </si>
  <si>
    <t>Vereinigte Staaten</t>
  </si>
  <si>
    <t>US</t>
  </si>
  <si>
    <t>Vereinigtes Königreich</t>
  </si>
  <si>
    <t>GB</t>
  </si>
  <si>
    <t>Vietnam</t>
  </si>
  <si>
    <t>VN</t>
  </si>
  <si>
    <t>Wallis und Futuna</t>
  </si>
  <si>
    <t>WF</t>
  </si>
  <si>
    <t>Weihnachtsinsel</t>
  </si>
  <si>
    <t>CX</t>
  </si>
  <si>
    <t>Weißrussland</t>
  </si>
  <si>
    <t>BY</t>
  </si>
  <si>
    <t>Westsahara</t>
  </si>
  <si>
    <t>EH</t>
  </si>
  <si>
    <t>Zentralafrikanische Republik</t>
  </si>
  <si>
    <t>CF</t>
  </si>
  <si>
    <t>Zypern</t>
  </si>
  <si>
    <t>CY</t>
  </si>
  <si>
    <t>"Herr"</t>
  </si>
  <si>
    <t>"Frau"</t>
  </si>
  <si>
    <t>Bedeutung</t>
  </si>
  <si>
    <t>keine Angabe</t>
  </si>
  <si>
    <t>Externe KVG (§§ 20 Abs. 2 und 21; 20 Abs. 3 und 22 KAGB) - zugelassene Kapitalverwaltungsgesellschaften</t>
  </si>
  <si>
    <t>Interne KVG (§§ 20 Abs. 7 und 21; 20 Abs. 7 und 22 KAGB) - zugelassene Investmentaktien-/-kommanditgesellschaften</t>
  </si>
  <si>
    <t>Börsenmakler</t>
  </si>
  <si>
    <t>E-Geld-Institut</t>
  </si>
  <si>
    <t>Einlagenkreditinstitut</t>
  </si>
  <si>
    <t>Eur. EWR-Dienstleister, EbAV unter Rechtsaufsicht</t>
  </si>
  <si>
    <t>Eur. EWR-Dienstleister, Versicherer unter Rechtsaufsicht</t>
  </si>
  <si>
    <t>Eur. EWR-Dienstleister, Versicherer unter Rechtsaufsicht ohne Geschäftstätigkeit</t>
  </si>
  <si>
    <t>Extern verwaltete AIF-InvAG</t>
  </si>
  <si>
    <t>Extern verwaltete OGAW-InvAG (§ 113 Abs. 1 KAGB)</t>
  </si>
  <si>
    <t>FDI (ohne Börsenmakler)</t>
  </si>
  <si>
    <t>Freigestelltes sonstiges Institut</t>
  </si>
  <si>
    <t>grenzüberschreitender Dienstleister (FDI) gem. § 53b KWG</t>
  </si>
  <si>
    <t>grenzüberschreitender Dienstleister (KI) gem. § 53b KWG</t>
  </si>
  <si>
    <t>grenzüberschreitender Dienstleistungsverkehr (EU-AIF-VwG) gem. § 54 Abs. 1 KAGB</t>
  </si>
  <si>
    <t>grenzüberschreitender Dienstleistungsverkehr (EU-OGAW-VwG) gem. § 51 Abs. 1, 3 KAGB</t>
  </si>
  <si>
    <t>Inländische Zweigniederlassung (EU-OGAW-VwG) gem. § 51 Abs. 1, 2 KAGB</t>
  </si>
  <si>
    <t>Investmentaktiengesellschaft</t>
  </si>
  <si>
    <t>KAG</t>
  </si>
  <si>
    <t>Krankenversicherer unter Bundesaufsicht</t>
  </si>
  <si>
    <t>Lebensversicherer unter Bundesaufsicht</t>
  </si>
  <si>
    <t>Lebensversicherer unter Bundesaufsicht ohne Geschäftstätigkeit</t>
  </si>
  <si>
    <t>Lebensversicherer unter Rechtsaufsicht</t>
  </si>
  <si>
    <t>Pensionsfonds unter Bundesaufsicht</t>
  </si>
  <si>
    <t>Pensionskasse unter Bundesaufsicht</t>
  </si>
  <si>
    <t>Pensionskasse unter Bundesaufsicht ohne Geschäftstätigkeit</t>
  </si>
  <si>
    <t>Registrierte AIF-KVG (§ 44 KAGB) - registrierte Kapitalverwaltungsgesellschaften</t>
  </si>
  <si>
    <t>Repräsentanz (FDI) in Deutschland</t>
  </si>
  <si>
    <t>Repräsentanz (KI) in Deutschland</t>
  </si>
  <si>
    <t>Rückversicherer unter Bundesaufsicht</t>
  </si>
  <si>
    <t>Rückversicherer unter Bundesaufsicht ohne Geschäftstätigkeit</t>
  </si>
  <si>
    <t>Rückversicherer unter Rechtsaufsicht</t>
  </si>
  <si>
    <t>Schaden- und Unfallversicherer unter Bundesaufsicht</t>
  </si>
  <si>
    <t>Schaden- und Unfallversicherer unter Bundesaufsicht ohne Geschäftstätigkeit</t>
  </si>
  <si>
    <t>Schaden- und Unfallversicherer unter Rechtsaufsicht</t>
  </si>
  <si>
    <t>sonstiges Institut</t>
  </si>
  <si>
    <t>Sterbekasse unter Bundesaufsicht</t>
  </si>
  <si>
    <t>Sterbekasse unter Bundesaufsicht ohne Geschäftstätigkeit</t>
  </si>
  <si>
    <t>Wertpapierhandelsbank</t>
  </si>
  <si>
    <t>Zweigniederlassung (FDI) gem. § 53b KWG</t>
  </si>
  <si>
    <t>Zweigniederlassung (KI) gem. § 53b KWG</t>
  </si>
  <si>
    <t>Zweigstelle (FDI) gem. § 53 KWG</t>
  </si>
  <si>
    <t>Zweigstelle (KI) gem. § 53 KWG</t>
  </si>
  <si>
    <t>grenzüberschreitender Dienstleistungsverkehr (EU-VwG)</t>
  </si>
  <si>
    <t>Inländische Zweigniederlassung (EU-VwG)</t>
  </si>
  <si>
    <t>CRR-Kreditinstitut</t>
  </si>
  <si>
    <t>Zahlungsinstitut (ZAG)</t>
  </si>
  <si>
    <t>EWR-Dienstleister, Versicherer unter Rechtsaufsicht</t>
  </si>
  <si>
    <t>Datenbereitstellungsdienst</t>
  </si>
  <si>
    <t>boersenname</t>
  </si>
  <si>
    <t>boersenkuerzel</t>
  </si>
  <si>
    <t>boersenland</t>
  </si>
  <si>
    <t>"DEUTSCHE BOERSE AG"</t>
  </si>
  <si>
    <t>"XFRA"</t>
  </si>
  <si>
    <t>"DE"</t>
  </si>
  <si>
    <t>"BOERSE BERLIN"</t>
  </si>
  <si>
    <t>"XBER"</t>
  </si>
  <si>
    <t>"BOERSE DUESSELDORF"</t>
  </si>
  <si>
    <t>"XDUS"</t>
  </si>
  <si>
    <t>"HANSEATISCHE WERTPAPIERBOERSE HAMBURG"</t>
  </si>
  <si>
    <t>"XHAM"</t>
  </si>
  <si>
    <t>"NIEDERSAECHSISCHE BOERSE ZU HANNOVER"</t>
  </si>
  <si>
    <t>"XHAN"</t>
  </si>
  <si>
    <t>"BOERSE MUENCHEN"</t>
  </si>
  <si>
    <t>"XMUN"</t>
  </si>
  <si>
    <t>"BOERSE STUTTGART"</t>
  </si>
  <si>
    <t>"XSTU"</t>
  </si>
  <si>
    <t>"XETRA"</t>
  </si>
  <si>
    <t>"XETR"</t>
  </si>
  <si>
    <t>"EUREX DEUTSCHLAND"</t>
  </si>
  <si>
    <t>"XEUR"</t>
  </si>
  <si>
    <t>"TRADEGATE EXCHANGE"</t>
  </si>
  <si>
    <t>"TGAT"</t>
  </si>
  <si>
    <t>"ASX - ALL MARKETS"</t>
  </si>
  <si>
    <t>"XASX"</t>
  </si>
  <si>
    <t>"AU"</t>
  </si>
  <si>
    <t>"ATHENS STOCK EXCHANGE"</t>
  </si>
  <si>
    <t>"ASEX"</t>
  </si>
  <si>
    <t>"GR"</t>
  </si>
  <si>
    <t>"BERMUDA STOCK EXCHANGE LTD"</t>
  </si>
  <si>
    <t>"XBDA"</t>
  </si>
  <si>
    <t>"BM"</t>
  </si>
  <si>
    <t>"BOLSA DE BARCELONA"</t>
  </si>
  <si>
    <t>"XBAR"</t>
  </si>
  <si>
    <t>"ES"</t>
  </si>
  <si>
    <t>"BOLSA DE VALORES DE BILBAO"</t>
  </si>
  <si>
    <t>"XBIL"</t>
  </si>
  <si>
    <t>"BOLSA DE COMERCIO DE BUENOS AIRES"</t>
  </si>
  <si>
    <t>"XBUE"</t>
  </si>
  <si>
    <t>"AR"</t>
  </si>
  <si>
    <t>"BOLSA DE MADRID"</t>
  </si>
  <si>
    <t>"XMAD"</t>
  </si>
  <si>
    <t>"BOLSA DE VALENCIA"</t>
  </si>
  <si>
    <t>"XVAL"</t>
  </si>
  <si>
    <t>"BORSA ITALIANA S.P.A."</t>
  </si>
  <si>
    <t>"XMIL"</t>
  </si>
  <si>
    <t>"IT"</t>
  </si>
  <si>
    <t>"THE MONTREAL EXCHANGE / BOURSE DE MONTREAL"</t>
  </si>
  <si>
    <t>"XMOD"</t>
  </si>
  <si>
    <t>"CA"</t>
  </si>
  <si>
    <t>"BRATISLAVA STOCK EXCHANGE"</t>
  </si>
  <si>
    <t>"XBRA"</t>
  </si>
  <si>
    <t>"SK"</t>
  </si>
  <si>
    <t>"SPOT REGULATED MARKET - BVB"</t>
  </si>
  <si>
    <t>"XBSE"</t>
  </si>
  <si>
    <t>"RO"</t>
  </si>
  <si>
    <t>"BUDAPEST STOCK EXCHANGE"</t>
  </si>
  <si>
    <t>"XBUD"</t>
  </si>
  <si>
    <t>"HU"</t>
  </si>
  <si>
    <t>"BULGARIAN STOCK EXCHANGE"</t>
  </si>
  <si>
    <t>"XBUL"</t>
  </si>
  <si>
    <t>"BG"</t>
  </si>
  <si>
    <t>"BURSA MALAYSIA"</t>
  </si>
  <si>
    <t>"XKLS"</t>
  </si>
  <si>
    <t>"MY"</t>
  </si>
  <si>
    <t>"NYSE CHICAGO, INC."</t>
  </si>
  <si>
    <t>"XCHI"</t>
  </si>
  <si>
    <t>"US"</t>
  </si>
  <si>
    <t>"CYPRUS STOCK EXCHANGE"</t>
  </si>
  <si>
    <t>"XCYS"</t>
  </si>
  <si>
    <t>"CY"</t>
  </si>
  <si>
    <t>"EDX LONDON LIMITED"</t>
  </si>
  <si>
    <t>""</t>
  </si>
  <si>
    <t>"GB"</t>
  </si>
  <si>
    <t>"EURONEXT - EURONEXT AMSTERDAM"</t>
  </si>
  <si>
    <t>"XAMS"</t>
  </si>
  <si>
    <t>"NL"</t>
  </si>
  <si>
    <t>"EURONEXT - EURONEXT BRUSSELS"</t>
  </si>
  <si>
    <t>"XBRU"</t>
  </si>
  <si>
    <t>"BE"</t>
  </si>
  <si>
    <t>"EURONEXT - EURONEXT LISBON"</t>
  </si>
  <si>
    <t>"XLIS"</t>
  </si>
  <si>
    <t>"PT"</t>
  </si>
  <si>
    <t>"EURONEXT - EURONEXT PARIS"</t>
  </si>
  <si>
    <t>"XPAR"</t>
  </si>
  <si>
    <t>"FR"</t>
  </si>
  <si>
    <t>"FUKUOKA STOCK EXCHANGE"</t>
  </si>
  <si>
    <t>"XFKA"</t>
  </si>
  <si>
    <t>"JP"</t>
  </si>
  <si>
    <t>"HONG KONG EXCHANGES AND CLEARING LTD"</t>
  </si>
  <si>
    <t>"XHKG"</t>
  </si>
  <si>
    <t>"HK"</t>
  </si>
  <si>
    <t>"IRISH STOCK EXCHANGE - ALL MARKET"</t>
  </si>
  <si>
    <t>"XDUB"</t>
  </si>
  <si>
    <t>"IE"</t>
  </si>
  <si>
    <t>"JOHANNESBURG STOCK EXCHANGE"</t>
  </si>
  <si>
    <t>"XJSE"</t>
  </si>
  <si>
    <t>"ZA"</t>
  </si>
  <si>
    <t>"KOREA EXCHANGE (STOCK MARKET)"</t>
  </si>
  <si>
    <t>"XKRX"</t>
  </si>
  <si>
    <t>"KR"</t>
  </si>
  <si>
    <t>"LJUBLJANA STOCK EXCHANGE (OFFICIAL MARKET)"</t>
  </si>
  <si>
    <t>"XLJU"</t>
  </si>
  <si>
    <t>"SI"</t>
  </si>
  <si>
    <t>"LONDON STOCK EXCHANGE"</t>
  </si>
  <si>
    <t>"XLON"</t>
  </si>
  <si>
    <t>"LUXEMBOURG STOCK EXCHANGE"</t>
  </si>
  <si>
    <t>"XLUX"</t>
  </si>
  <si>
    <t>"LU"</t>
  </si>
  <si>
    <t>"MALTA STOCK EXCHANGE"</t>
  </si>
  <si>
    <t>"XMAL"</t>
  </si>
  <si>
    <t>"MT"</t>
  </si>
  <si>
    <t>"NAGOYA STOCK EXCHANGE"</t>
  </si>
  <si>
    <t>"XNGO"</t>
  </si>
  <si>
    <t>"NASDAQ - ALL MARKETS"</t>
  </si>
  <si>
    <t>"XNAS"</t>
  </si>
  <si>
    <t>"NASDAQ COPENHAGEN A/S"</t>
  </si>
  <si>
    <t>"XCSE"</t>
  </si>
  <si>
    <t>"DK"</t>
  </si>
  <si>
    <t>"NASDAQ HELSINKI LTD"</t>
  </si>
  <si>
    <t>"XHEL"</t>
  </si>
  <si>
    <t>"FI"</t>
  </si>
  <si>
    <t>"NASDAQ ICELAND HF."</t>
  </si>
  <si>
    <t>"XICE"</t>
  </si>
  <si>
    <t>"IS"</t>
  </si>
  <si>
    <t>"NASDAQ RIGA AS"</t>
  </si>
  <si>
    <t>"XRIS"</t>
  </si>
  <si>
    <t>"LV"</t>
  </si>
  <si>
    <t>"NASDAQ STOCKHOLM AB"</t>
  </si>
  <si>
    <t>"XSTO"</t>
  </si>
  <si>
    <t>"SE"</t>
  </si>
  <si>
    <t>"NASDAQ TALLINN AS"</t>
  </si>
  <si>
    <t>"XTAL"</t>
  </si>
  <si>
    <t>"EE"</t>
  </si>
  <si>
    <t>"AB NASDAQ VILNIUS"</t>
  </si>
  <si>
    <t>"XLIT"</t>
  </si>
  <si>
    <t>"LT"</t>
  </si>
  <si>
    <t>"NATIONAL STOCK EXCHANGE OF AUSTRALIA LIMITED"</t>
  </si>
  <si>
    <t>"XNEC"</t>
  </si>
  <si>
    <t>"NEW YORK STOCK EXCHANGE, INC."</t>
  </si>
  <si>
    <t>"XNYS"</t>
  </si>
  <si>
    <t>"NEW ZEALAND EXCHANGE LTD"</t>
  </si>
  <si>
    <t>"XNZE"</t>
  </si>
  <si>
    <t>"NZ"</t>
  </si>
  <si>
    <t>"NEX SEF"</t>
  </si>
  <si>
    <t>"NEXS"</t>
  </si>
  <si>
    <t>"NORDIC GROWTH MARKET"</t>
  </si>
  <si>
    <t>"XNGM"</t>
  </si>
  <si>
    <t>"EURONEXT - EURONEXT LONDON"</t>
  </si>
  <si>
    <t>"XLDN"</t>
  </si>
  <si>
    <t>"OSAKA EXCHANGE"</t>
  </si>
  <si>
    <t>"XOSE"</t>
  </si>
  <si>
    <t>"OSLO BORS"</t>
  </si>
  <si>
    <t>"XOSL"</t>
  </si>
  <si>
    <t>"NO"</t>
  </si>
  <si>
    <t>"PRAGUE STOCK EXCHANGE"</t>
  </si>
  <si>
    <t>"XPRA"</t>
  </si>
  <si>
    <t>"CZ"</t>
  </si>
  <si>
    <t>"RM-SYSTEM CZECH STOCK EXCHANGE"</t>
  </si>
  <si>
    <t>"XRMZ"</t>
  </si>
  <si>
    <t>"SANTIAGO STOCK EXCHANGE"</t>
  </si>
  <si>
    <t>"XSGO"</t>
  </si>
  <si>
    <t>"CL"</t>
  </si>
  <si>
    <t>"SAPPORO SECURITIES EXCHANGE"</t>
  </si>
  <si>
    <t>"XSAP"</t>
  </si>
  <si>
    <t>"SINGAPORE EXCHANGE"</t>
  </si>
  <si>
    <t>"XSES"</t>
  </si>
  <si>
    <t>"SG"</t>
  </si>
  <si>
    <t>"SIX SWISS EXCHANGE"</t>
  </si>
  <si>
    <t>"XSWX"</t>
  </si>
  <si>
    <t>"CH"</t>
  </si>
  <si>
    <t>"SYDNEY STOCK EXCHANGE LIMITED"</t>
  </si>
  <si>
    <t>"APXL"</t>
  </si>
  <si>
    <t>"TEL AVIV STOCK EXCHANGE"</t>
  </si>
  <si>
    <t>"XTAE"</t>
  </si>
  <si>
    <t>"IL"</t>
  </si>
  <si>
    <t>"THE INTERNATIONAL STOCK EXCHANGE"</t>
  </si>
  <si>
    <t>"XCIE"</t>
  </si>
  <si>
    <t>"GG"</t>
  </si>
  <si>
    <t>"TOKYO STOCK EXCHANGE"</t>
  </si>
  <si>
    <t>"XTKS"</t>
  </si>
  <si>
    <t>"TORONTO STOCK EXCHANGE"</t>
  </si>
  <si>
    <t>"XTSE"</t>
  </si>
  <si>
    <t>"WIENER BOERSE AG"</t>
  </si>
  <si>
    <t>"XWBO"</t>
  </si>
  <si>
    <t>"AT"</t>
  </si>
  <si>
    <t>"WARSAW STOCK EXCHANGE/EQUITIES/MAIN MARKET"</t>
  </si>
  <si>
    <t>"XWAR"</t>
  </si>
  <si>
    <t>"PL"</t>
  </si>
  <si>
    <t>"Abwickler"</t>
  </si>
  <si>
    <t>"Administrateur"</t>
  </si>
  <si>
    <t>"Alleinverwalter"</t>
  </si>
  <si>
    <t>"Aufsichtsrat"</t>
  </si>
  <si>
    <t>"Aufsichtsratsvorsitzender"</t>
  </si>
  <si>
    <t>"Beisitzer"</t>
  </si>
  <si>
    <t>"Besonderer Vertreter"</t>
  </si>
  <si>
    <t>"Betriebsleiter"</t>
  </si>
  <si>
    <t>"Bürgermeister"</t>
  </si>
  <si>
    <t>"Chief Executive Officer"</t>
  </si>
  <si>
    <t>"Company Secretary"</t>
  </si>
  <si>
    <t>"Direktionsmitglied"</t>
  </si>
  <si>
    <t>"Direktor"</t>
  </si>
  <si>
    <t>"Director"</t>
  </si>
  <si>
    <t>"Director der pershG"</t>
  </si>
  <si>
    <t>"Direktoriumsmitglied"</t>
  </si>
  <si>
    <t>"Directeur"</t>
  </si>
  <si>
    <t>"Empfangsberechtigte Person"</t>
  </si>
  <si>
    <t>"Erbe"</t>
  </si>
  <si>
    <t>"Erbengemeinschaft"</t>
  </si>
  <si>
    <t>"Executive Partner"</t>
  </si>
  <si>
    <t>"Generalbevollmächtigter"</t>
  </si>
  <si>
    <t>"Generaldirektor"</t>
  </si>
  <si>
    <t>"Gérant"</t>
  </si>
  <si>
    <t>"Geschäftsführender Direktor"</t>
  </si>
  <si>
    <t>"Geschäftsführender Direktor der pershG"</t>
  </si>
  <si>
    <t>"Gesellschaftsdirektor"</t>
  </si>
  <si>
    <t>"Geschäftsführender Gesellschafter"</t>
  </si>
  <si>
    <t>"Geschäftsführendes Verwaltungsratsmitglied"</t>
  </si>
  <si>
    <t>"Geschäftsführer"</t>
  </si>
  <si>
    <t>"Geschäftsführer der geschäftsführenden Gesellschaft"</t>
  </si>
  <si>
    <t>"Geschäftsführer der pershG"</t>
  </si>
  <si>
    <t>"Geschäftsleiter"</t>
  </si>
  <si>
    <t>"Gesellschafter"</t>
  </si>
  <si>
    <t>"Gesellschafter der pershG"</t>
  </si>
  <si>
    <t>"Gesetzlicher Vertreter"</t>
  </si>
  <si>
    <t>"Gründer"</t>
  </si>
  <si>
    <t>"Hauptbevollmächtigter"</t>
  </si>
  <si>
    <t>"Inhaber"</t>
  </si>
  <si>
    <t>"Insolvenzverwalter"</t>
  </si>
  <si>
    <t>"Intendant"</t>
  </si>
  <si>
    <t>"International Partner"</t>
  </si>
  <si>
    <t>"Kommanditist"</t>
  </si>
  <si>
    <t>"Kurator"</t>
  </si>
  <si>
    <t>"Kurdirektor"</t>
  </si>
  <si>
    <t>"Liquidator"</t>
  </si>
  <si>
    <t>"Local Partner"</t>
  </si>
  <si>
    <t>"Mitglied"</t>
  </si>
  <si>
    <t>"Nachlasspfleger"</t>
  </si>
  <si>
    <t>"Niederlassungsleiter"</t>
  </si>
  <si>
    <t>"Pächter"</t>
  </si>
  <si>
    <t>"Partner"</t>
  </si>
  <si>
    <t>"Persönlich haftender Gesellschafter"</t>
  </si>
  <si>
    <t>"Persönlich haftender Gesellschafter der pershG"</t>
  </si>
  <si>
    <t>"Präsident"</t>
  </si>
  <si>
    <t>"Präsident des Verwaltungsrats"</t>
  </si>
  <si>
    <t>"Präsidiumsmitglied"</t>
  </si>
  <si>
    <t>"Prokurist"</t>
  </si>
  <si>
    <t>"Sachwalter"</t>
  </si>
  <si>
    <t>"Schatzmeister"</t>
  </si>
  <si>
    <t>"Schriftführer"</t>
  </si>
  <si>
    <t>"Sonstiger Vertreter"</t>
  </si>
  <si>
    <t>"Sonstiges"</t>
  </si>
  <si>
    <t>"Stadtrat"</t>
  </si>
  <si>
    <t>"Ständiger Vertreter"</t>
  </si>
  <si>
    <t>"Stiftungsrat"</t>
  </si>
  <si>
    <t>"Stellvertretender Aufsichtsratsvorsitzender"</t>
  </si>
  <si>
    <t>"Stellvertretender Betriebsleiter"</t>
  </si>
  <si>
    <t>"Stellvertretende Betriebsleitung"</t>
  </si>
  <si>
    <t>"Stellvertretender Geschäftsführer"</t>
  </si>
  <si>
    <t>"Stellvertretender Hafendirektor"</t>
  </si>
  <si>
    <t>"Stellvertretender Präsident"</t>
  </si>
  <si>
    <t>"Stellvertretender Schriftführer"</t>
  </si>
  <si>
    <t>"Stellvertretender Verbandsvorsitzender"</t>
  </si>
  <si>
    <t>"Stellvertretender Verwaltungsratsvorsitzender"</t>
  </si>
  <si>
    <t>"Stellvertretender Vorsitzender"</t>
  </si>
  <si>
    <t>"Stellvertretender Vorstand"</t>
  </si>
  <si>
    <t>"Stellvertretender Vorstandssprecher"</t>
  </si>
  <si>
    <t>"Stellvertretender Vorstandsvorsitzender"</t>
  </si>
  <si>
    <t>"Stellvertretender Werksleiter"</t>
  </si>
  <si>
    <t>"Stellvertreter"</t>
  </si>
  <si>
    <t>"Treuhänder"</t>
  </si>
  <si>
    <t>"Verbandsvorsitzender"</t>
  </si>
  <si>
    <t>"Verbandsvorsteher"</t>
  </si>
  <si>
    <t>"Vereinsvorsitzender"</t>
  </si>
  <si>
    <t>"Verhinderungsvertreter"</t>
  </si>
  <si>
    <t>"Vertreter"</t>
  </si>
  <si>
    <t>"Vertreter des Bürgermeisters"</t>
  </si>
  <si>
    <t>"Verwalter"</t>
  </si>
  <si>
    <t>"Verwaltungsrat"</t>
  </si>
  <si>
    <t>"Verwaltungsratsvorsitzender"</t>
  </si>
  <si>
    <t>"Vizepräsident"</t>
  </si>
  <si>
    <t>"Vorläufiger Insolvenzverwalter"</t>
  </si>
  <si>
    <t>"Voläufiger Sachwalter"</t>
  </si>
  <si>
    <t>"Vorläufiger Verwalter"</t>
  </si>
  <si>
    <t>"Vorsitzender"</t>
  </si>
  <si>
    <t>"Vorsitzender der Geschäftsführung"</t>
  </si>
  <si>
    <t>"Vorstand"</t>
  </si>
  <si>
    <t>"Vorstand der pershG"</t>
  </si>
  <si>
    <t>"Vorstandsvorsitzender"</t>
  </si>
  <si>
    <t>"Werkleiter"</t>
  </si>
  <si>
    <t>01</t>
  </si>
  <si>
    <t>außerhalb der Länderliste</t>
  </si>
  <si>
    <t>02</t>
  </si>
  <si>
    <t>Anteilseignerstruktur nicht ermittelbar</t>
  </si>
  <si>
    <t>03</t>
  </si>
  <si>
    <t>Kontrollstruktur nicht validierbar</t>
  </si>
  <si>
    <t>04</t>
  </si>
  <si>
    <t>Anteilsverteilung nicht ermittelbar</t>
  </si>
  <si>
    <t>05</t>
  </si>
  <si>
    <t>nicht börsennotiert</t>
  </si>
  <si>
    <t>06</t>
  </si>
  <si>
    <t>börsennotiert nicht anerkannte Börse</t>
  </si>
  <si>
    <t>07</t>
  </si>
  <si>
    <t>börsennotiert anerkannte Börse</t>
  </si>
  <si>
    <t>08</t>
  </si>
  <si>
    <t>Gesellschaftsvertrag / Satzung nicht vorhanden</t>
  </si>
  <si>
    <t>09</t>
  </si>
  <si>
    <t>Anteilseignerliste fehlt</t>
  </si>
  <si>
    <t>10</t>
  </si>
  <si>
    <t>Gesellschaft gelöscht ohne Nachfolger</t>
  </si>
  <si>
    <t>11</t>
  </si>
  <si>
    <t>kein aktueller Jahresabschluss</t>
  </si>
  <si>
    <t>12</t>
  </si>
  <si>
    <t>Körperschaft öffentlichen Rechts</t>
  </si>
  <si>
    <t>13</t>
  </si>
  <si>
    <t>Anstalt öffentlichen Rechts</t>
  </si>
  <si>
    <t>14</t>
  </si>
  <si>
    <t>Zirkelbezug </t>
  </si>
  <si>
    <t>15</t>
  </si>
  <si>
    <t>Klärung der Pflichtanteile in GV/TR nicht möglich</t>
  </si>
  <si>
    <t>16</t>
  </si>
  <si>
    <t>Inhaberaktie nicht Börsennotiert</t>
  </si>
  <si>
    <t>17</t>
  </si>
  <si>
    <t>Inhaberaktie Börsennotiert</t>
  </si>
  <si>
    <t>Ankündigung Insolvenz</t>
  </si>
  <si>
    <t>Aufhebung Insolvenz</t>
  </si>
  <si>
    <t>Beendigung Insolvenz</t>
  </si>
  <si>
    <t>Insolvenz</t>
  </si>
  <si>
    <t>Insolvenzverfahren eröffnet</t>
  </si>
  <si>
    <t>Firma in Eigenverwaltung</t>
  </si>
  <si>
    <t>ja - 4 Monate</t>
  </si>
  <si>
    <t>nein</t>
  </si>
  <si>
    <t>ja - 12 Monate</t>
  </si>
  <si>
    <t>ja</t>
  </si>
  <si>
    <t>"ANNULED"</t>
  </si>
  <si>
    <t>"DUPLICATE"</t>
  </si>
  <si>
    <t>"ISSUED"</t>
  </si>
  <si>
    <t>"KEINE ANGABE"</t>
  </si>
  <si>
    <t>"LAPSED"</t>
  </si>
  <si>
    <t>"MERGED"</t>
  </si>
  <si>
    <t>"PENDING_ARCHIVAL"</t>
  </si>
  <si>
    <t>"PENDING_TRANSFER"</t>
  </si>
  <si>
    <t>"RETIRED"</t>
  </si>
  <si>
    <t>In Liquidation</t>
  </si>
  <si>
    <t>Aufhebung Liquidation</t>
  </si>
  <si>
    <t>.Wert (alternative)</t>
  </si>
  <si>
    <t>"A"</t>
  </si>
  <si>
    <t>"Agriculture, forestry and fishing"</t>
  </si>
  <si>
    <t>"1"</t>
  </si>
  <si>
    <t>"Crop and animal production, hunting and related service activities"</t>
  </si>
  <si>
    <t>"1.1"</t>
  </si>
  <si>
    <t>"Growing of non-perennial crops"</t>
  </si>
  <si>
    <t>"1.1.1"</t>
  </si>
  <si>
    <t>"1.11"</t>
  </si>
  <si>
    <t>"Growing of cereals (except rice), leguminous crops and oil seeds"</t>
  </si>
  <si>
    <t>"1.1.2"</t>
  </si>
  <si>
    <t>"1.12"</t>
  </si>
  <si>
    <t>"Growing of rice"</t>
  </si>
  <si>
    <t>"1.1.3"</t>
  </si>
  <si>
    <t>"1.13"</t>
  </si>
  <si>
    <t>"Growing of vegetables and melons, roots and tubers"</t>
  </si>
  <si>
    <t>"1.1.4"</t>
  </si>
  <si>
    <t>"1.14"</t>
  </si>
  <si>
    <t>"Growing of sugar cane"</t>
  </si>
  <si>
    <t>"1.1.5"</t>
  </si>
  <si>
    <t>"1.15"</t>
  </si>
  <si>
    <t>"Growing of tobacco"</t>
  </si>
  <si>
    <t>"1.1.6"</t>
  </si>
  <si>
    <t>"1.16"</t>
  </si>
  <si>
    <t>"Growing of fibre crops"</t>
  </si>
  <si>
    <t>"1.1.9"</t>
  </si>
  <si>
    <t>"1.19"</t>
  </si>
  <si>
    <t>"Growing of other non-perennial crops"</t>
  </si>
  <si>
    <t>"1.2"</t>
  </si>
  <si>
    <t>"Growing of perennial crops"</t>
  </si>
  <si>
    <t>"1.2.1"</t>
  </si>
  <si>
    <t>"1.21"</t>
  </si>
  <si>
    <t>"Growing of grapes"</t>
  </si>
  <si>
    <t>"1.2.2"</t>
  </si>
  <si>
    <t>"1.22"</t>
  </si>
  <si>
    <t>"Growing of tropical and subtropical fruits"</t>
  </si>
  <si>
    <t>"1.2.3"</t>
  </si>
  <si>
    <t>"1.23"</t>
  </si>
  <si>
    <t>"Growing of citrus fruits"</t>
  </si>
  <si>
    <t>"1.2.4"</t>
  </si>
  <si>
    <t>"1.24"</t>
  </si>
  <si>
    <t>"Growing of pome fruits and stone fruits"</t>
  </si>
  <si>
    <t>"1.2.5"</t>
  </si>
  <si>
    <t>"1.25"</t>
  </si>
  <si>
    <t>"Growing of other tree and bush fruits and nuts"</t>
  </si>
  <si>
    <t>"1.2.6"</t>
  </si>
  <si>
    <t>"1.26"</t>
  </si>
  <si>
    <t>"Growing of oleaginous fruits"</t>
  </si>
  <si>
    <t>"1.2.7"</t>
  </si>
  <si>
    <t>"1.27"</t>
  </si>
  <si>
    <t>"Growing of beverage crops"</t>
  </si>
  <si>
    <t>"1.2.8"</t>
  </si>
  <si>
    <t>"1.28"</t>
  </si>
  <si>
    <t>"Growing of spices, aromatic, drug and pharmaceutical crops"</t>
  </si>
  <si>
    <t>"1.2.9"</t>
  </si>
  <si>
    <t>"1.29"</t>
  </si>
  <si>
    <t>"Growing of other perennial crops"</t>
  </si>
  <si>
    <t>"1.3"</t>
  </si>
  <si>
    <t>"Plant propagation"</t>
  </si>
  <si>
    <t>"1.3.0"</t>
  </si>
  <si>
    <t>"1.30"</t>
  </si>
  <si>
    <t>"1.4"</t>
  </si>
  <si>
    <t>"Animal production"</t>
  </si>
  <si>
    <t>"1.4.1"</t>
  </si>
  <si>
    <t>"1.41"</t>
  </si>
  <si>
    <t>"Raising of dairy cattle"</t>
  </si>
  <si>
    <t>"1.4.2"</t>
  </si>
  <si>
    <t>"1.42"</t>
  </si>
  <si>
    <t>"Raising of other cattle and buffaloes"</t>
  </si>
  <si>
    <t>"1.4.3"</t>
  </si>
  <si>
    <t>"1.43"</t>
  </si>
  <si>
    <t>"Raising of horses and other equines"</t>
  </si>
  <si>
    <t>"1.4.4"</t>
  </si>
  <si>
    <t>"1.44"</t>
  </si>
  <si>
    <t>"Raising of camels and camelids"</t>
  </si>
  <si>
    <t>"1.4.5"</t>
  </si>
  <si>
    <t>"1.45"</t>
  </si>
  <si>
    <t>"Raising of sheep and goats"</t>
  </si>
  <si>
    <t>"1.4.6"</t>
  </si>
  <si>
    <t>"1.46"</t>
  </si>
  <si>
    <t>"Raising of swine/pigs"</t>
  </si>
  <si>
    <t>"1.4.7"</t>
  </si>
  <si>
    <t>"1.47"</t>
  </si>
  <si>
    <t>"Raising of poultry"</t>
  </si>
  <si>
    <t>"1.4.9"</t>
  </si>
  <si>
    <t>"1.49"</t>
  </si>
  <si>
    <t>"Raising of other animals"</t>
  </si>
  <si>
    <t>"1.5"</t>
  </si>
  <si>
    <t>"Mixed farming"</t>
  </si>
  <si>
    <t>"1.5.0"</t>
  </si>
  <si>
    <t>"1.50"</t>
  </si>
  <si>
    <t>"1.6"</t>
  </si>
  <si>
    <t>"Support activities to agriculture and post-harvest crop activities"</t>
  </si>
  <si>
    <t>"1.6.1"</t>
  </si>
  <si>
    <t>"1.61"</t>
  </si>
  <si>
    <t>"Support activities for crop production"</t>
  </si>
  <si>
    <t>"1.6.2"</t>
  </si>
  <si>
    <t>"1.62"</t>
  </si>
  <si>
    <t>"Support activities for animal production"</t>
  </si>
  <si>
    <t>"1.6.3"</t>
  </si>
  <si>
    <t>"1.63"</t>
  </si>
  <si>
    <t>"Post-harvest crop activities"</t>
  </si>
  <si>
    <t>"1.6.4"</t>
  </si>
  <si>
    <t>"1.64"</t>
  </si>
  <si>
    <t>"Seed processing for propagation"</t>
  </si>
  <si>
    <t>"1.7"</t>
  </si>
  <si>
    <t>"Hunting, trapping and related service activities"</t>
  </si>
  <si>
    <t>"1.7.0"</t>
  </si>
  <si>
    <t>"1.70"</t>
  </si>
  <si>
    <t>"2"</t>
  </si>
  <si>
    <t>"Forestry and logging"</t>
  </si>
  <si>
    <t>"2.1"</t>
  </si>
  <si>
    <t>"Silviculture and other forestry activities"</t>
  </si>
  <si>
    <t>"2.1.0"</t>
  </si>
  <si>
    <t>"2.10"</t>
  </si>
  <si>
    <t>"2.2"</t>
  </si>
  <si>
    <t>"Logging"</t>
  </si>
  <si>
    <t>"2.2.0"</t>
  </si>
  <si>
    <t>"2.20"</t>
  </si>
  <si>
    <t>"2.3"</t>
  </si>
  <si>
    <t>"Gathering of wild growing non-wood products"</t>
  </si>
  <si>
    <t>"2.3.0"</t>
  </si>
  <si>
    <t>"2.30"</t>
  </si>
  <si>
    <t>"2.4"</t>
  </si>
  <si>
    <t>"Support services to forestry"</t>
  </si>
  <si>
    <t>"2.4.0"</t>
  </si>
  <si>
    <t>"2.40"</t>
  </si>
  <si>
    <t>"3"</t>
  </si>
  <si>
    <t>"Fishing and aquaculture"</t>
  </si>
  <si>
    <t>"3.1"</t>
  </si>
  <si>
    <t>"Fishing"</t>
  </si>
  <si>
    <t>"3.1.1"</t>
  </si>
  <si>
    <t>"3.11"</t>
  </si>
  <si>
    <t>"Marine fishing"</t>
  </si>
  <si>
    <t>"3.1.2"</t>
  </si>
  <si>
    <t>"3.12"</t>
  </si>
  <si>
    <t>"Freshwater fishing"</t>
  </si>
  <si>
    <t>"3.2"</t>
  </si>
  <si>
    <t>"Aquaculture"</t>
  </si>
  <si>
    <t>"3.2.1"</t>
  </si>
  <si>
    <t>"3.21"</t>
  </si>
  <si>
    <t>"Marine aquaculture"</t>
  </si>
  <si>
    <t>"3.2.2"</t>
  </si>
  <si>
    <t>"3.22"</t>
  </si>
  <si>
    <t>"Freshwater aquaculture"</t>
  </si>
  <si>
    <t>"B"</t>
  </si>
  <si>
    <t>"Mining and quarrying"</t>
  </si>
  <si>
    <t>"5"</t>
  </si>
  <si>
    <t>"Mining of coal and lignite"</t>
  </si>
  <si>
    <t>"5.1"</t>
  </si>
  <si>
    <t>"Mining of hard coal"</t>
  </si>
  <si>
    <t>"5.1.0"</t>
  </si>
  <si>
    <t>"5.10"</t>
  </si>
  <si>
    <t>"5.2"</t>
  </si>
  <si>
    <t>"Mining of lignite"</t>
  </si>
  <si>
    <t>"5.2.0"</t>
  </si>
  <si>
    <t>"5.20"</t>
  </si>
  <si>
    <t>"6"</t>
  </si>
  <si>
    <t>"Extraction of crude petroleum and natural gas"</t>
  </si>
  <si>
    <t>"6.1"</t>
  </si>
  <si>
    <t>"Extraction of crude petroleum"</t>
  </si>
  <si>
    <t>"6.1.0"</t>
  </si>
  <si>
    <t>"6.10"</t>
  </si>
  <si>
    <t>"6.2"</t>
  </si>
  <si>
    <t>"Extraction of natural gas"</t>
  </si>
  <si>
    <t>"6.2.0"</t>
  </si>
  <si>
    <t>"6.20"</t>
  </si>
  <si>
    <t>"7"</t>
  </si>
  <si>
    <t>"Mining of metal ores"</t>
  </si>
  <si>
    <t>"7.1"</t>
  </si>
  <si>
    <t>"Mining of iron ores"</t>
  </si>
  <si>
    <t>"7.1.0"</t>
  </si>
  <si>
    <t>"7.10"</t>
  </si>
  <si>
    <t>"7.2"</t>
  </si>
  <si>
    <t>"Mining of non-ferrous metal ores"</t>
  </si>
  <si>
    <t>"7.2.1"</t>
  </si>
  <si>
    <t>"7.21"</t>
  </si>
  <si>
    <t>"Mining of uranium and thorium ores"</t>
  </si>
  <si>
    <t>"7.2.9"</t>
  </si>
  <si>
    <t>"7.29"</t>
  </si>
  <si>
    <t>"Mining of other non-ferrous metal ores"</t>
  </si>
  <si>
    <t>"8"</t>
  </si>
  <si>
    <t>"Other mining and quarrying"</t>
  </si>
  <si>
    <t>"8.1"</t>
  </si>
  <si>
    <t>"Quarrying of stone, sand and clay"</t>
  </si>
  <si>
    <t>"8.1.1"</t>
  </si>
  <si>
    <t>"8.11"</t>
  </si>
  <si>
    <t>"Quarrying of ornamental and building stone, limestone, gypsum, chalk and slate"</t>
  </si>
  <si>
    <t>"8.1.2"</t>
  </si>
  <si>
    <t>"8.12"</t>
  </si>
  <si>
    <t>"Operation of gravel and sand pits; mining of clays and kaolin"</t>
  </si>
  <si>
    <t>"8.9"</t>
  </si>
  <si>
    <t>"Mining and quarrying n.e.c."</t>
  </si>
  <si>
    <t>"8.9.1"</t>
  </si>
  <si>
    <t>"8.91"</t>
  </si>
  <si>
    <t>"Mining of chemical and fertiliser minerals"</t>
  </si>
  <si>
    <t>"8.9.2"</t>
  </si>
  <si>
    <t>"8.92"</t>
  </si>
  <si>
    <t>"Extraction of peat"</t>
  </si>
  <si>
    <t>"8.9.3"</t>
  </si>
  <si>
    <t>"8.93"</t>
  </si>
  <si>
    <t>"Extraction of salt"</t>
  </si>
  <si>
    <t>"8.9.9"</t>
  </si>
  <si>
    <t>"8.99"</t>
  </si>
  <si>
    <t>"Other mining and quarrying n.e.c."</t>
  </si>
  <si>
    <t>"9"</t>
  </si>
  <si>
    <t>"Mining support service activities"</t>
  </si>
  <si>
    <t>"9.1"</t>
  </si>
  <si>
    <t>"Support activities for petroleum and natural gas extraction"</t>
  </si>
  <si>
    <t>"9.1.0"</t>
  </si>
  <si>
    <t>"9.10"</t>
  </si>
  <si>
    <t>"9.9"</t>
  </si>
  <si>
    <t>"Support activities for other mining and quarrying"</t>
  </si>
  <si>
    <t>"9.9.0"</t>
  </si>
  <si>
    <t>"9.90"</t>
  </si>
  <si>
    <t>"C"</t>
  </si>
  <si>
    <t>"Manufacturing"</t>
  </si>
  <si>
    <t>"10"</t>
  </si>
  <si>
    <t>"Manufacture of food products"</t>
  </si>
  <si>
    <t>"10.1"</t>
  </si>
  <si>
    <t>"Processing and preserving of meat and production of meat products"</t>
  </si>
  <si>
    <t>"10.1.1"</t>
  </si>
  <si>
    <t>"10.11"</t>
  </si>
  <si>
    <t>"Processing and preserving of meat"</t>
  </si>
  <si>
    <t>"10.1.2"</t>
  </si>
  <si>
    <t>"10.12"</t>
  </si>
  <si>
    <t>"Processing and preserving of poultry meat"</t>
  </si>
  <si>
    <t>"10.1.3"</t>
  </si>
  <si>
    <t>"10.13"</t>
  </si>
  <si>
    <t>"Production of meat and poultry meat products"</t>
  </si>
  <si>
    <t>"10.2"</t>
  </si>
  <si>
    <t>"Processing and preserving of fish, crustaceans and molluscs"</t>
  </si>
  <si>
    <t>"10.2.0"</t>
  </si>
  <si>
    <t>"10.20"</t>
  </si>
  <si>
    <t>"10.3"</t>
  </si>
  <si>
    <t>"Processing and preserving of fruit and vegetables"</t>
  </si>
  <si>
    <t>"10.3.1"</t>
  </si>
  <si>
    <t>"10.31"</t>
  </si>
  <si>
    <t>"Processing and preserving of potatoes"</t>
  </si>
  <si>
    <t>"10.3.2"</t>
  </si>
  <si>
    <t>"10.32"</t>
  </si>
  <si>
    <t>"Manufacture of fruit and vegetable juice"</t>
  </si>
  <si>
    <t>"10.3.9"</t>
  </si>
  <si>
    <t>"10.39"</t>
  </si>
  <si>
    <t>"Other processing and preserving of fruit and vegetables"</t>
  </si>
  <si>
    <t>"10.4"</t>
  </si>
  <si>
    <t>"Manufacture of vegetable and animal oils and fats"</t>
  </si>
  <si>
    <t>"10.4.1"</t>
  </si>
  <si>
    <t>"10.41"</t>
  </si>
  <si>
    <t>"Manufacture of oils and fats"</t>
  </si>
  <si>
    <t>"10.4.2"</t>
  </si>
  <si>
    <t>"10.42"</t>
  </si>
  <si>
    <t>"Manufacture of margarine and similar edible fats"</t>
  </si>
  <si>
    <t>"10.5"</t>
  </si>
  <si>
    <t>"Manufacture of dairy products"</t>
  </si>
  <si>
    <t>"10.5.1"</t>
  </si>
  <si>
    <t>"10.51"</t>
  </si>
  <si>
    <t>"Operation of dairies and cheese making"</t>
  </si>
  <si>
    <t>"10.5.2"</t>
  </si>
  <si>
    <t>"10.52"</t>
  </si>
  <si>
    <t>"Manufacture of ice cream"</t>
  </si>
  <si>
    <t>"10.6"</t>
  </si>
  <si>
    <t>"Manufacture of grain mill products, starches and starch products"</t>
  </si>
  <si>
    <t>"10.6.1"</t>
  </si>
  <si>
    <t>"10.61"</t>
  </si>
  <si>
    <t>"Manufacture of grain mill products"</t>
  </si>
  <si>
    <t>"10.6.2"</t>
  </si>
  <si>
    <t>"10.62"</t>
  </si>
  <si>
    <t>"Manufacture of starches and starch products"</t>
  </si>
  <si>
    <t>"10.7"</t>
  </si>
  <si>
    <t>"Manufacture of bakery and farinaceous products"</t>
  </si>
  <si>
    <t>"10.7.1"</t>
  </si>
  <si>
    <t>"10.71"</t>
  </si>
  <si>
    <t>"Manufacture of bread; manufacture of fresh pastry goods and cakes"</t>
  </si>
  <si>
    <t>"10.7.2"</t>
  </si>
  <si>
    <t>"10.72"</t>
  </si>
  <si>
    <t>"Manufacture of rusks and biscuits; manufacture of preserved pastry goods and cakes"</t>
  </si>
  <si>
    <t>"10.7.3"</t>
  </si>
  <si>
    <t>"10.73"</t>
  </si>
  <si>
    <t>"Manufacture of macaroni, noodles, couscous and similar farinaceous products"</t>
  </si>
  <si>
    <t>"10.8"</t>
  </si>
  <si>
    <t>"Manufacture of other food products"</t>
  </si>
  <si>
    <t>"10.8.1"</t>
  </si>
  <si>
    <t>"10.81"</t>
  </si>
  <si>
    <t>"Manufacture of sugar"</t>
  </si>
  <si>
    <t>"10.8.2"</t>
  </si>
  <si>
    <t>"10.82"</t>
  </si>
  <si>
    <t>"Manufacture of cocoa, chocolate and sugar confectionery"</t>
  </si>
  <si>
    <t>"10.8.3"</t>
  </si>
  <si>
    <t>"10.83"</t>
  </si>
  <si>
    <t>"Processing of tea and coffee"</t>
  </si>
  <si>
    <t>"10.8.4"</t>
  </si>
  <si>
    <t>"10.84"</t>
  </si>
  <si>
    <t>"Manufacture of condiments and seasonings"</t>
  </si>
  <si>
    <t>"10.8.5"</t>
  </si>
  <si>
    <t>"10.85"</t>
  </si>
  <si>
    <t>"Manufacture of prepared meals and dishes"</t>
  </si>
  <si>
    <t>"10.8.6"</t>
  </si>
  <si>
    <t>"10.86"</t>
  </si>
  <si>
    <t>"Manufacture of homogenised food preparations and dietetic food"</t>
  </si>
  <si>
    <t>"10.8.9"</t>
  </si>
  <si>
    <t>"10.89"</t>
  </si>
  <si>
    <t>"Manufacture of other food products n.e.c."</t>
  </si>
  <si>
    <t>"10.9"</t>
  </si>
  <si>
    <t>"Manufacture of prepared animal feeds"</t>
  </si>
  <si>
    <t>"10.9.1"</t>
  </si>
  <si>
    <t>"10.91"</t>
  </si>
  <si>
    <t>"Manufacture of prepared feeds for farm animals"</t>
  </si>
  <si>
    <t>"10.9.2"</t>
  </si>
  <si>
    <t>"10.92"</t>
  </si>
  <si>
    <t>"Manufacture of prepared pet foods"</t>
  </si>
  <si>
    <t>"11"</t>
  </si>
  <si>
    <t>"Manufacture of beverages"</t>
  </si>
  <si>
    <t>"11.0"</t>
  </si>
  <si>
    <t>"11.0.1"</t>
  </si>
  <si>
    <t>"11.01"</t>
  </si>
  <si>
    <t>"Distilling, rectifying and blending of spirits"</t>
  </si>
  <si>
    <t>"11.0.2"</t>
  </si>
  <si>
    <t>"11.02"</t>
  </si>
  <si>
    <t>"Manufacture of wine from grape"</t>
  </si>
  <si>
    <t>"11.0.3"</t>
  </si>
  <si>
    <t>"11.03"</t>
  </si>
  <si>
    <t>"Manufacture of cider and other fruit wines"</t>
  </si>
  <si>
    <t>"11.0.4"</t>
  </si>
  <si>
    <t>"11.04"</t>
  </si>
  <si>
    <t>"Manufacture of other non-distilled fermented beverages"</t>
  </si>
  <si>
    <t>"11.0.5"</t>
  </si>
  <si>
    <t>"11.05"</t>
  </si>
  <si>
    <t>"Manufacture of beer"</t>
  </si>
  <si>
    <t>"11.0.6"</t>
  </si>
  <si>
    <t>"11.06"</t>
  </si>
  <si>
    <t>"Manufacture of malt"</t>
  </si>
  <si>
    <t>"11.0.7"</t>
  </si>
  <si>
    <t>"11.07"</t>
  </si>
  <si>
    <t>"Manufacture of soft drinks; production of mineral waters and other bottled waters"</t>
  </si>
  <si>
    <t>"12"</t>
  </si>
  <si>
    <t>"Manufacture of tobacco products"</t>
  </si>
  <si>
    <t>"12.0"</t>
  </si>
  <si>
    <t>"12.0.0"</t>
  </si>
  <si>
    <t>"12.00"</t>
  </si>
  <si>
    <t>"13"</t>
  </si>
  <si>
    <t>"Manufacture of textiles"</t>
  </si>
  <si>
    <t>"13.1"</t>
  </si>
  <si>
    <t>"Preparation and spinning of textile fibres"</t>
  </si>
  <si>
    <t>"13.1.0"</t>
  </si>
  <si>
    <t>"13.10"</t>
  </si>
  <si>
    <t>"13.2"</t>
  </si>
  <si>
    <t>"Weaving of textiles"</t>
  </si>
  <si>
    <t>"13.2.0"</t>
  </si>
  <si>
    <t>"13.20"</t>
  </si>
  <si>
    <t>"13.3"</t>
  </si>
  <si>
    <t>"Finishing of textiles"</t>
  </si>
  <si>
    <t>"13.3.0"</t>
  </si>
  <si>
    <t>"13.30"</t>
  </si>
  <si>
    <t>"13.9"</t>
  </si>
  <si>
    <t>"Manufacture of other textiles"</t>
  </si>
  <si>
    <t>"13.9.1"</t>
  </si>
  <si>
    <t>"13.91"</t>
  </si>
  <si>
    <t>"Manufacture of knitted and crocheted fabrics"</t>
  </si>
  <si>
    <t>"13.9.2"</t>
  </si>
  <si>
    <t>"13.92"</t>
  </si>
  <si>
    <t>"Manufacture of made-up textile articles, except apparel"</t>
  </si>
  <si>
    <t>"13.9.3"</t>
  </si>
  <si>
    <t>"13.93"</t>
  </si>
  <si>
    <t>"Manufacture of carpets and rugs"</t>
  </si>
  <si>
    <t>"13.9.4"</t>
  </si>
  <si>
    <t>"13.94"</t>
  </si>
  <si>
    <t>"Manufacture of cordage, rope, twine and netting"</t>
  </si>
  <si>
    <t>"13.9.5"</t>
  </si>
  <si>
    <t>"13.95"</t>
  </si>
  <si>
    <t>"Manufacture of non-wovens and articles made from non-wovens, except apparel"</t>
  </si>
  <si>
    <t>"13.9.6"</t>
  </si>
  <si>
    <t>"13.96"</t>
  </si>
  <si>
    <t>"Manufacture of other technical and industrial textiles"</t>
  </si>
  <si>
    <t>"13.9.9"</t>
  </si>
  <si>
    <t>"13.99"</t>
  </si>
  <si>
    <t>"Manufacture of other textiles n.e.c."</t>
  </si>
  <si>
    <t>"14"</t>
  </si>
  <si>
    <t>"Manufacture of wearing apparel"</t>
  </si>
  <si>
    <t>"14.1"</t>
  </si>
  <si>
    <t>"Manufacture of wearing apparel, except fur apparel"</t>
  </si>
  <si>
    <t>"14.1.1"</t>
  </si>
  <si>
    <t>"14.11"</t>
  </si>
  <si>
    <t>"Manufacture of leather clothes"</t>
  </si>
  <si>
    <t>"14.1.2"</t>
  </si>
  <si>
    <t>"14.12"</t>
  </si>
  <si>
    <t>"Manufacture of workwear"</t>
  </si>
  <si>
    <t>"14.1.3"</t>
  </si>
  <si>
    <t>"14.13"</t>
  </si>
  <si>
    <t>"Manufacture of other outerwear"</t>
  </si>
  <si>
    <t>"14.1.4"</t>
  </si>
  <si>
    <t>"14.14"</t>
  </si>
  <si>
    <t>"Manufacture of underwear"</t>
  </si>
  <si>
    <t>"14.1.9"</t>
  </si>
  <si>
    <t>"14.19"</t>
  </si>
  <si>
    <t>"Manufacture of other wearing apparel and accessories"</t>
  </si>
  <si>
    <t>"14.2"</t>
  </si>
  <si>
    <t>"Manufacture of articles of fur"</t>
  </si>
  <si>
    <t>"14.2.0"</t>
  </si>
  <si>
    <t>"14.20"</t>
  </si>
  <si>
    <t>"14.3"</t>
  </si>
  <si>
    <t>"Manufacture of knitted and crocheted apparel"</t>
  </si>
  <si>
    <t>"14.3.1"</t>
  </si>
  <si>
    <t>"14.31"</t>
  </si>
  <si>
    <t>"Manufacture of knitted and crocheted hosiery"</t>
  </si>
  <si>
    <t>"14.3.9"</t>
  </si>
  <si>
    <t>"14.39"</t>
  </si>
  <si>
    <t>"Manufacture of other knitted and crocheted apparel"</t>
  </si>
  <si>
    <t>"15"</t>
  </si>
  <si>
    <t>"Manufacture of leather and related products"</t>
  </si>
  <si>
    <t>"15.1"</t>
  </si>
  <si>
    <t>"Tanning and dressing of leather; manufacture of luggage, handbags, saddlery and harness; dressing and dyeing of fur"</t>
  </si>
  <si>
    <t>"15.1.1"</t>
  </si>
  <si>
    <t>"15.11"</t>
  </si>
  <si>
    <t>"Tanning and dressing of leather; dressing and dyeing of fur"</t>
  </si>
  <si>
    <t>"15.1.2"</t>
  </si>
  <si>
    <t>"15.12"</t>
  </si>
  <si>
    <t>"Manufacture of luggage, handbags and the like, saddlery and harness"</t>
  </si>
  <si>
    <t>"15.2"</t>
  </si>
  <si>
    <t>"Manufacture of footwear"</t>
  </si>
  <si>
    <t>"15.2.0"</t>
  </si>
  <si>
    <t>"15.20"</t>
  </si>
  <si>
    <t>"16"</t>
  </si>
  <si>
    <t>"Manufacture of wood and of products of wood and cork, except furniture; manufacture of articles of straw and plaiting materials"</t>
  </si>
  <si>
    <t>"16.1"</t>
  </si>
  <si>
    <t>"Sawmilling and planing of wood"</t>
  </si>
  <si>
    <t>"16.1.0"</t>
  </si>
  <si>
    <t>"16.10"</t>
  </si>
  <si>
    <t>"16.2"</t>
  </si>
  <si>
    <t>"Manufacture of products of wood, cork, straw and plaiting materials"</t>
  </si>
  <si>
    <t>"16.2.1"</t>
  </si>
  <si>
    <t>"16.21"</t>
  </si>
  <si>
    <t>"Manufacture of veneer sheets and wood-based panels"</t>
  </si>
  <si>
    <t>"16.2.2"</t>
  </si>
  <si>
    <t>"16.22"</t>
  </si>
  <si>
    <t>"Manufacture of assembled parquet floors"</t>
  </si>
  <si>
    <t>"16.2.3"</t>
  </si>
  <si>
    <t>"16.23"</t>
  </si>
  <si>
    <t>"Manufacture of other builders' carpentry and joinery"</t>
  </si>
  <si>
    <t>"16.2.4"</t>
  </si>
  <si>
    <t>"16.24"</t>
  </si>
  <si>
    <t>"Manufacture of wooden containers"</t>
  </si>
  <si>
    <t>"16.2.9"</t>
  </si>
  <si>
    <t>"16.29"</t>
  </si>
  <si>
    <t>"Manufacture of other products of wood; manufacture of articles of cork, straw and plaiting materials"</t>
  </si>
  <si>
    <t>"17"</t>
  </si>
  <si>
    <t>"Manufacture of paper and paper products"</t>
  </si>
  <si>
    <t>"17.1"</t>
  </si>
  <si>
    <t>"Manufacture of pulp, paper and paperboard"</t>
  </si>
  <si>
    <t>"17.1.1"</t>
  </si>
  <si>
    <t>"17.11"</t>
  </si>
  <si>
    <t>"Manufacture of pulp"</t>
  </si>
  <si>
    <t>"17.1.2"</t>
  </si>
  <si>
    <t>"17.12"</t>
  </si>
  <si>
    <t>"Manufacture of paper and paperboard"</t>
  </si>
  <si>
    <t>"17.2"</t>
  </si>
  <si>
    <t>"Manufacture of articles of paper and paperboard"</t>
  </si>
  <si>
    <t>"17.2.1"</t>
  </si>
  <si>
    <t>"17.21"</t>
  </si>
  <si>
    <t>"Manufacture of corrugated paper and paperboard and of containers of paper and paperboard"</t>
  </si>
  <si>
    <t>"17.2.2"</t>
  </si>
  <si>
    <t>"17.22"</t>
  </si>
  <si>
    <t>"Manufacture of household and sanitary goods and of toilet requisites"</t>
  </si>
  <si>
    <t>"17.2.3"</t>
  </si>
  <si>
    <t>"17.23"</t>
  </si>
  <si>
    <t>"Manufacture of paper stationery"</t>
  </si>
  <si>
    <t>"17.2.4"</t>
  </si>
  <si>
    <t>"17.24"</t>
  </si>
  <si>
    <t>"Manufacture of wallpaper"</t>
  </si>
  <si>
    <t>"17.2.9"</t>
  </si>
  <si>
    <t>"17.29"</t>
  </si>
  <si>
    <t>"Manufacture of other articles of paper and paperboard"</t>
  </si>
  <si>
    <t>"18"</t>
  </si>
  <si>
    <t>"Printing and reproduction of recorded media"</t>
  </si>
  <si>
    <t>"18.1"</t>
  </si>
  <si>
    <t>"Printing and service activities related to printing"</t>
  </si>
  <si>
    <t>"18.1.1"</t>
  </si>
  <si>
    <t>"18.11"</t>
  </si>
  <si>
    <t>"Printing of newspapers"</t>
  </si>
  <si>
    <t>"18.1.2"</t>
  </si>
  <si>
    <t>"18.12"</t>
  </si>
  <si>
    <t>"Other printing"</t>
  </si>
  <si>
    <t>"18.1.3"</t>
  </si>
  <si>
    <t>"18.13"</t>
  </si>
  <si>
    <t>"Pre-press and pre-media services"</t>
  </si>
  <si>
    <t>"18.1.4"</t>
  </si>
  <si>
    <t>"18.14"</t>
  </si>
  <si>
    <t>"Binding and related services"</t>
  </si>
  <si>
    <t>"18.2"</t>
  </si>
  <si>
    <t>"Reproduction of recorded media"</t>
  </si>
  <si>
    <t>"18.2.0"</t>
  </si>
  <si>
    <t>"18.20"</t>
  </si>
  <si>
    <t>"19"</t>
  </si>
  <si>
    <t>"Manufacture of coke and refined petroleum products"</t>
  </si>
  <si>
    <t>"19.1"</t>
  </si>
  <si>
    <t>"Manufacture of coke oven products"</t>
  </si>
  <si>
    <t>"19.1.0"</t>
  </si>
  <si>
    <t>"19.10"</t>
  </si>
  <si>
    <t>"19.2"</t>
  </si>
  <si>
    <t>"Manufacture of refined petroleum products"</t>
  </si>
  <si>
    <t>"19.2.0"</t>
  </si>
  <si>
    <t>"19.20"</t>
  </si>
  <si>
    <t>"20"</t>
  </si>
  <si>
    <t>"Manufacture of chemicals and chemical products"</t>
  </si>
  <si>
    <t>"20.1"</t>
  </si>
  <si>
    <t>"Manufacture of basic chemicals, fertilisers and nitrogen compounds, plastics and synthetic rubber in primary forms"</t>
  </si>
  <si>
    <t>"20.1.1"</t>
  </si>
  <si>
    <t>"20.11"</t>
  </si>
  <si>
    <t>"Manufacture of industrial gases"</t>
  </si>
  <si>
    <t>"20.1.2"</t>
  </si>
  <si>
    <t>"20.12"</t>
  </si>
  <si>
    <t>"Manufacture of dyes and pigments"</t>
  </si>
  <si>
    <t>"20.1.3"</t>
  </si>
  <si>
    <t>"20.13"</t>
  </si>
  <si>
    <t>"Manufacture of other inorganic basic chemicals"</t>
  </si>
  <si>
    <t>"20.1.4"</t>
  </si>
  <si>
    <t>"20.14"</t>
  </si>
  <si>
    <t>"Manufacture of other organic basic chemicals"</t>
  </si>
  <si>
    <t>"20.1.5"</t>
  </si>
  <si>
    <t>"20.15"</t>
  </si>
  <si>
    <t>"Manufacture of fertilisers and nitrogen compounds"</t>
  </si>
  <si>
    <t>"20.1.6"</t>
  </si>
  <si>
    <t>"20.16"</t>
  </si>
  <si>
    <t>"Manufacture of plastics in primary forms"</t>
  </si>
  <si>
    <t>"20.1.7"</t>
  </si>
  <si>
    <t>"20.17"</t>
  </si>
  <si>
    <t>"Manufacture of synthetic rubber in primary forms"</t>
  </si>
  <si>
    <t>"20.2"</t>
  </si>
  <si>
    <t>"Manufacture of pesticides and other agrochemical products"</t>
  </si>
  <si>
    <t>"20.2.0"</t>
  </si>
  <si>
    <t>"20.20"</t>
  </si>
  <si>
    <t>"20.3"</t>
  </si>
  <si>
    <t>"Manufacture of paints, varnishes and similar coatings, printing ink and mastics"</t>
  </si>
  <si>
    <t>"20.3.0"</t>
  </si>
  <si>
    <t>"20.30"</t>
  </si>
  <si>
    <t>"20.4"</t>
  </si>
  <si>
    <t>"Manufacture of soap and detergents, cleaning and polishing preparations, perfumes and toilet preparations"</t>
  </si>
  <si>
    <t>"20.4.1"</t>
  </si>
  <si>
    <t>"20.41"</t>
  </si>
  <si>
    <t>"Manufacture of soap and detergents, cleaning and polishing preparations"</t>
  </si>
  <si>
    <t>"20.4.2"</t>
  </si>
  <si>
    <t>"20.42"</t>
  </si>
  <si>
    <t>"Manufacture of perfumes and toilet preparations"</t>
  </si>
  <si>
    <t>"20.5"</t>
  </si>
  <si>
    <t>"Manufacture of other chemical products"</t>
  </si>
  <si>
    <t>"20.5.1"</t>
  </si>
  <si>
    <t>"20.51"</t>
  </si>
  <si>
    <t>"Manufacture of explosives"</t>
  </si>
  <si>
    <t>"20.5.2"</t>
  </si>
  <si>
    <t>"20.52"</t>
  </si>
  <si>
    <t>"Manufacture of glues"</t>
  </si>
  <si>
    <t>"20.5.3"</t>
  </si>
  <si>
    <t>"20.53"</t>
  </si>
  <si>
    <t>"Manufacture of essential oils"</t>
  </si>
  <si>
    <t>"20.5.9"</t>
  </si>
  <si>
    <t>"20.59"</t>
  </si>
  <si>
    <t>"Manufacture of other chemical products n.e.c."</t>
  </si>
  <si>
    <t>"20.6"</t>
  </si>
  <si>
    <t>"Manufacture of man-made fibres"</t>
  </si>
  <si>
    <t>"20.6.0"</t>
  </si>
  <si>
    <t>"20.60"</t>
  </si>
  <si>
    <t>"21"</t>
  </si>
  <si>
    <t>"Manufacture of basic pharmaceutical products and pharmaceutical preparations"</t>
  </si>
  <si>
    <t>"21.1"</t>
  </si>
  <si>
    <t>"Manufacture of basic pharmaceutical products"</t>
  </si>
  <si>
    <t>"21.1.0"</t>
  </si>
  <si>
    <t>"21.10"</t>
  </si>
  <si>
    <t>"21.2"</t>
  </si>
  <si>
    <t>"Manufacture of pharmaceutical preparations"</t>
  </si>
  <si>
    <t>"21.2.0"</t>
  </si>
  <si>
    <t>"21.20"</t>
  </si>
  <si>
    <t>"22"</t>
  </si>
  <si>
    <t>"Manufacture of rubber and plastic products"</t>
  </si>
  <si>
    <t>"22.1"</t>
  </si>
  <si>
    <t>"Manufacture of rubber products"</t>
  </si>
  <si>
    <t>"22.1.1"</t>
  </si>
  <si>
    <t>"22.11"</t>
  </si>
  <si>
    <t>"Manufacture of rubber tyres and tubes; retreading and rebuilding of rubber tyres"</t>
  </si>
  <si>
    <t>"22.1.9"</t>
  </si>
  <si>
    <t>"22.19"</t>
  </si>
  <si>
    <t>"Manufacture of other rubber products"</t>
  </si>
  <si>
    <t>"22.2"</t>
  </si>
  <si>
    <t>"Manufacture of plastics products"</t>
  </si>
  <si>
    <t>"22.2.1"</t>
  </si>
  <si>
    <t>"22.21"</t>
  </si>
  <si>
    <t>"Manufacture of plastic plates, sheets, tubes and profiles"</t>
  </si>
  <si>
    <t>"22.2.2"</t>
  </si>
  <si>
    <t>"22.22"</t>
  </si>
  <si>
    <t>"Manufacture of plastic packing goods"</t>
  </si>
  <si>
    <t>"22.2.3"</t>
  </si>
  <si>
    <t>"22.23"</t>
  </si>
  <si>
    <t>"Manufacture of builders’ ware of plastic"</t>
  </si>
  <si>
    <t>"22.2.9"</t>
  </si>
  <si>
    <t>"22.29"</t>
  </si>
  <si>
    <t>"Manufacture of other plastic products"</t>
  </si>
  <si>
    <t>"23"</t>
  </si>
  <si>
    <t>"Manufacture of other non-metallic mineral products"</t>
  </si>
  <si>
    <t>"23.1"</t>
  </si>
  <si>
    <t>"Manufacture of glass and glass products"</t>
  </si>
  <si>
    <t>"23.1.1"</t>
  </si>
  <si>
    <t>"23.11"</t>
  </si>
  <si>
    <t>"Manufacture of flat glass"</t>
  </si>
  <si>
    <t>"23.1.2"</t>
  </si>
  <si>
    <t>"23.12"</t>
  </si>
  <si>
    <t>"Shaping and processing of flat glass"</t>
  </si>
  <si>
    <t>"23.1.3"</t>
  </si>
  <si>
    <t>"23.13"</t>
  </si>
  <si>
    <t>"Manufacture of hollow glass"</t>
  </si>
  <si>
    <t>"23.1.4"</t>
  </si>
  <si>
    <t>"23.14"</t>
  </si>
  <si>
    <t>"Manufacture of glass fibres"</t>
  </si>
  <si>
    <t>"23.1.9"</t>
  </si>
  <si>
    <t>"23.19"</t>
  </si>
  <si>
    <t>"Manufacture and processing of other glass, including technical glassware"</t>
  </si>
  <si>
    <t>"23.2"</t>
  </si>
  <si>
    <t>"Manufacture of refractory products"</t>
  </si>
  <si>
    <t>"23.2.0"</t>
  </si>
  <si>
    <t>"23.20"</t>
  </si>
  <si>
    <t>"23.3"</t>
  </si>
  <si>
    <t>"Manufacture of clay building materials"</t>
  </si>
  <si>
    <t>"23.3.1"</t>
  </si>
  <si>
    <t>"23.31"</t>
  </si>
  <si>
    <t>"Manufacture of ceramic tiles and flags"</t>
  </si>
  <si>
    <t>"23.3.2"</t>
  </si>
  <si>
    <t>"23.32"</t>
  </si>
  <si>
    <t>"Manufacture of bricks, tiles and construction products, in baked clay"</t>
  </si>
  <si>
    <t>"23.4"</t>
  </si>
  <si>
    <t>"Manufacture of other porcelain and ceramic products"</t>
  </si>
  <si>
    <t>"23.4.1"</t>
  </si>
  <si>
    <t>"23.41"</t>
  </si>
  <si>
    <t>"Manufacture of ceramic household and ornamental articles"</t>
  </si>
  <si>
    <t>"23.4.2"</t>
  </si>
  <si>
    <t>"23.42"</t>
  </si>
  <si>
    <t>"Manufacture of ceramic sanitary fixtures"</t>
  </si>
  <si>
    <t>"23.4.3"</t>
  </si>
  <si>
    <t>"23.43"</t>
  </si>
  <si>
    <t>"Manufacture of ceramic insulators and insulating fittings"</t>
  </si>
  <si>
    <t>"23.4.4"</t>
  </si>
  <si>
    <t>"23.44"</t>
  </si>
  <si>
    <t>"Manufacture of other technical ceramic products"</t>
  </si>
  <si>
    <t>"23.4.9"</t>
  </si>
  <si>
    <t>"23.49"</t>
  </si>
  <si>
    <t>"Manufacture of other ceramic products"</t>
  </si>
  <si>
    <t>"23.5"</t>
  </si>
  <si>
    <t>"Manufacture of cement, lime and plaster"</t>
  </si>
  <si>
    <t>"23.5.1"</t>
  </si>
  <si>
    <t>"23.51"</t>
  </si>
  <si>
    <t>"Manufacture of cement"</t>
  </si>
  <si>
    <t>"23.5.2"</t>
  </si>
  <si>
    <t>"23.52"</t>
  </si>
  <si>
    <t>"Manufacture of lime and plaster"</t>
  </si>
  <si>
    <t>"23.6"</t>
  </si>
  <si>
    <t>"Manufacture of articles of concrete, cement and plaster"</t>
  </si>
  <si>
    <t>"23.6.1"</t>
  </si>
  <si>
    <t>"23.61"</t>
  </si>
  <si>
    <t>"Manufacture of concrete products for construction purposes"</t>
  </si>
  <si>
    <t>"23.6.2"</t>
  </si>
  <si>
    <t>"23.62"</t>
  </si>
  <si>
    <t>"Manufacture of plaster products for construction purposes"</t>
  </si>
  <si>
    <t>"23.6.3"</t>
  </si>
  <si>
    <t>"23.63"</t>
  </si>
  <si>
    <t>"Manufacture of ready-mixed concrete"</t>
  </si>
  <si>
    <t>"23.6.4"</t>
  </si>
  <si>
    <t>"23.64"</t>
  </si>
  <si>
    <t>"Manufacture of mortars"</t>
  </si>
  <si>
    <t>"23.6.5"</t>
  </si>
  <si>
    <t>"23.65"</t>
  </si>
  <si>
    <t>"Manufacture of fibre cement"</t>
  </si>
  <si>
    <t>"23.6.9"</t>
  </si>
  <si>
    <t>"23.69"</t>
  </si>
  <si>
    <t>"Manufacture of other articles of concrete, plaster and cement"</t>
  </si>
  <si>
    <t>"23.7"</t>
  </si>
  <si>
    <t>"Cutting, shaping and finishing of stone"</t>
  </si>
  <si>
    <t>"23.7.0"</t>
  </si>
  <si>
    <t>"23.70"</t>
  </si>
  <si>
    <t>"23.9"</t>
  </si>
  <si>
    <t>"Manufacture of abrasive products and non-metallic mineral products n.e.c."</t>
  </si>
  <si>
    <t>"23.9.1"</t>
  </si>
  <si>
    <t>"23.91"</t>
  </si>
  <si>
    <t>"Production of abrasive products"</t>
  </si>
  <si>
    <t>"23.9.9"</t>
  </si>
  <si>
    <t>"23.99"</t>
  </si>
  <si>
    <t>"Manufacture of other non-metallic mineral products n.e.c."</t>
  </si>
  <si>
    <t>"24"</t>
  </si>
  <si>
    <t>"Manufacture of basic metals"</t>
  </si>
  <si>
    <t>"24.1"</t>
  </si>
  <si>
    <t>"Manufacture of basic iron and steel and of ferro-alloys"</t>
  </si>
  <si>
    <t>"24.1.0"</t>
  </si>
  <si>
    <t>"24.10"</t>
  </si>
  <si>
    <t>"24.2"</t>
  </si>
  <si>
    <t>"Manufacture of tubes, pipes, hollow profiles and related fittings, of steel"</t>
  </si>
  <si>
    <t>"24.2.0"</t>
  </si>
  <si>
    <t>"24.20"</t>
  </si>
  <si>
    <t>"24.3"</t>
  </si>
  <si>
    <t>"Manufacture of other products of first processing of steel"</t>
  </si>
  <si>
    <t>"24.3.1"</t>
  </si>
  <si>
    <t>"24.31"</t>
  </si>
  <si>
    <t>"Cold drawing of bars"</t>
  </si>
  <si>
    <t>"24.3.2"</t>
  </si>
  <si>
    <t>"24.32"</t>
  </si>
  <si>
    <t>"Cold rolling of narrow strip"</t>
  </si>
  <si>
    <t>"24.3.3"</t>
  </si>
  <si>
    <t>"24.33"</t>
  </si>
  <si>
    <t>"Cold forming or folding"</t>
  </si>
  <si>
    <t>"24.3.4"</t>
  </si>
  <si>
    <t>"24.34"</t>
  </si>
  <si>
    <t>"Cold drawing of wire"</t>
  </si>
  <si>
    <t>"24.4"</t>
  </si>
  <si>
    <t>"Manufacture of basic precious and other non-ferrous metals"</t>
  </si>
  <si>
    <t>"24.4.1"</t>
  </si>
  <si>
    <t>"24.41"</t>
  </si>
  <si>
    <t>"Precious metals production"</t>
  </si>
  <si>
    <t>"24.4.2"</t>
  </si>
  <si>
    <t>"24.42"</t>
  </si>
  <si>
    <t>"Aluminium production"</t>
  </si>
  <si>
    <t>"24.4.3"</t>
  </si>
  <si>
    <t>"24.43"</t>
  </si>
  <si>
    <t>"Lead, zinc and tin production"</t>
  </si>
  <si>
    <t>"24.4.4"</t>
  </si>
  <si>
    <t>"24.44"</t>
  </si>
  <si>
    <t>"Copper production"</t>
  </si>
  <si>
    <t>"24.4.5"</t>
  </si>
  <si>
    <t>"24.45"</t>
  </si>
  <si>
    <t>"Other non-ferrous metal production"</t>
  </si>
  <si>
    <t>"24.4.6"</t>
  </si>
  <si>
    <t>"24.46"</t>
  </si>
  <si>
    <t>"Processing of nuclear fuel"</t>
  </si>
  <si>
    <t>"24.5"</t>
  </si>
  <si>
    <t>"Casting of metals"</t>
  </si>
  <si>
    <t>"24.5.1"</t>
  </si>
  <si>
    <t>"24.51"</t>
  </si>
  <si>
    <t>"Casting of iron"</t>
  </si>
  <si>
    <t>"24.5.2"</t>
  </si>
  <si>
    <t>"24.52"</t>
  </si>
  <si>
    <t>"Casting of steel"</t>
  </si>
  <si>
    <t>"24.5.3"</t>
  </si>
  <si>
    <t>"24.53"</t>
  </si>
  <si>
    <t>"Casting of light metals"</t>
  </si>
  <si>
    <t>"24.5.4"</t>
  </si>
  <si>
    <t>"24.54"</t>
  </si>
  <si>
    <t>"Casting of other non-ferrous metals"</t>
  </si>
  <si>
    <t>"25"</t>
  </si>
  <si>
    <t>"Manufacture of fabricated metal products, except machinery and equipment"</t>
  </si>
  <si>
    <t>"25.1"</t>
  </si>
  <si>
    <t>"Manufacture of structural metal products"</t>
  </si>
  <si>
    <t>"25.1.1"</t>
  </si>
  <si>
    <t>"25.11"</t>
  </si>
  <si>
    <t>"Manufacture of metal structures and parts of structures"</t>
  </si>
  <si>
    <t>"25.1.2"</t>
  </si>
  <si>
    <t>"25.12"</t>
  </si>
  <si>
    <t>"Manufacture of doors and windows of metal"</t>
  </si>
  <si>
    <t>"25.2"</t>
  </si>
  <si>
    <t>"Manufacture of tanks, reservoirs and containers of metal"</t>
  </si>
  <si>
    <t>"25.2.1"</t>
  </si>
  <si>
    <t>"25.21"</t>
  </si>
  <si>
    <t>"Manufacture of central heating radiators and boilers"</t>
  </si>
  <si>
    <t>"25.2.9"</t>
  </si>
  <si>
    <t>"25.29"</t>
  </si>
  <si>
    <t>"Manufacture of other tanks, reservoirs and containers of metal"</t>
  </si>
  <si>
    <t>"25.3"</t>
  </si>
  <si>
    <t>"Manufacture of steam generators, except central heating hot water boilers"</t>
  </si>
  <si>
    <t>"25.3.0"</t>
  </si>
  <si>
    <t>"25.30"</t>
  </si>
  <si>
    <t>"25.4"</t>
  </si>
  <si>
    <t>"Manufacture of weapons and ammunition"</t>
  </si>
  <si>
    <t>"25.4.0"</t>
  </si>
  <si>
    <t>"25.40"</t>
  </si>
  <si>
    <t>"25.5"</t>
  </si>
  <si>
    <t>"Forging, pressing, stamping and roll-forming of metal; powder metallurgy"</t>
  </si>
  <si>
    <t>"25.5.0"</t>
  </si>
  <si>
    <t>"25.50"</t>
  </si>
  <si>
    <t>"25.6"</t>
  </si>
  <si>
    <t>"Treatment and coating of metals; machining"</t>
  </si>
  <si>
    <t>"25.6.1"</t>
  </si>
  <si>
    <t>"25.61"</t>
  </si>
  <si>
    <t>"Treatment and coating of metals"</t>
  </si>
  <si>
    <t>"25.6.2"</t>
  </si>
  <si>
    <t>"25.62"</t>
  </si>
  <si>
    <t>"Machining"</t>
  </si>
  <si>
    <t>"25.7"</t>
  </si>
  <si>
    <t>"Manufacture of cutlery, tools and general hardware"</t>
  </si>
  <si>
    <t>"25.7.1"</t>
  </si>
  <si>
    <t>"25.71"</t>
  </si>
  <si>
    <t>"Manufacture of cutlery"</t>
  </si>
  <si>
    <t>"25.7.2"</t>
  </si>
  <si>
    <t>"25.72"</t>
  </si>
  <si>
    <t>"Manufacture of locks and hinges"</t>
  </si>
  <si>
    <t>"25.7.3"</t>
  </si>
  <si>
    <t>"25.73"</t>
  </si>
  <si>
    <t>"Manufacture of tools"</t>
  </si>
  <si>
    <t>"25.9"</t>
  </si>
  <si>
    <t>"Manufacture of other fabricated metal products"</t>
  </si>
  <si>
    <t>"25.9.1"</t>
  </si>
  <si>
    <t>"25.91"</t>
  </si>
  <si>
    <t>"Manufacture of steel drums and similar containers"</t>
  </si>
  <si>
    <t>"25.9.2"</t>
  </si>
  <si>
    <t>"25.92"</t>
  </si>
  <si>
    <t>"Manufacture of light metal packaging"</t>
  </si>
  <si>
    <t>"25.9.3"</t>
  </si>
  <si>
    <t>"25.93"</t>
  </si>
  <si>
    <t>"Manufacture of wire products, chain and springs"</t>
  </si>
  <si>
    <t>"25.9.4"</t>
  </si>
  <si>
    <t>"25.94"</t>
  </si>
  <si>
    <t>"Manufacture of fasteners and screw machine products"</t>
  </si>
  <si>
    <t>"25.9.9"</t>
  </si>
  <si>
    <t>"25.99"</t>
  </si>
  <si>
    <t>"Manufacture of other fabricated metal products n.e.c."</t>
  </si>
  <si>
    <t>"26"</t>
  </si>
  <si>
    <t>"Manufacture of computer, electronic and optical products"</t>
  </si>
  <si>
    <t>"26.1"</t>
  </si>
  <si>
    <t>"Manufacture of electronic components and boards"</t>
  </si>
  <si>
    <t>"26.1.1"</t>
  </si>
  <si>
    <t>"26.11"</t>
  </si>
  <si>
    <t>"Manufacture of electronic components"</t>
  </si>
  <si>
    <t>"26.1.2"</t>
  </si>
  <si>
    <t>"26.12"</t>
  </si>
  <si>
    <t>"Manufacture of loaded electronic boards"</t>
  </si>
  <si>
    <t>"26.2"</t>
  </si>
  <si>
    <t>"Manufacture of computers and peripheral equipment"</t>
  </si>
  <si>
    <t>"26.2.0"</t>
  </si>
  <si>
    <t>"26.20"</t>
  </si>
  <si>
    <t>"26.3"</t>
  </si>
  <si>
    <t>"Manufacture of communication equipment"</t>
  </si>
  <si>
    <t>"26.3.0"</t>
  </si>
  <si>
    <t>"26.30"</t>
  </si>
  <si>
    <t>"26.4"</t>
  </si>
  <si>
    <t>"Manufacture of consumer electronics"</t>
  </si>
  <si>
    <t>"26.4.0"</t>
  </si>
  <si>
    <t>"26.40"</t>
  </si>
  <si>
    <t>"26.5"</t>
  </si>
  <si>
    <t>"Manufacture of instruments and appliances for measuring, testing and navigation; watches and clocks"</t>
  </si>
  <si>
    <t>"26.5.1"</t>
  </si>
  <si>
    <t>"26.51"</t>
  </si>
  <si>
    <t>"Manufacture of instruments and appliances for measuring, testing and navigation"</t>
  </si>
  <si>
    <t>"26.5.2"</t>
  </si>
  <si>
    <t>"26.52"</t>
  </si>
  <si>
    <t>"Manufacture of watches and clocks"</t>
  </si>
  <si>
    <t>"26.6"</t>
  </si>
  <si>
    <t>"Manufacture of irradiation, electromedical and electrotherapeutic equipment"</t>
  </si>
  <si>
    <t>"26.6.0"</t>
  </si>
  <si>
    <t>"26.60"</t>
  </si>
  <si>
    <t>"26.7"</t>
  </si>
  <si>
    <t>"Manufacture of optical instruments and photographic equipment"</t>
  </si>
  <si>
    <t>"26.7.0"</t>
  </si>
  <si>
    <t>"26.70"</t>
  </si>
  <si>
    <t>"26.8"</t>
  </si>
  <si>
    <t>"Manufacture of magnetic and optical media"</t>
  </si>
  <si>
    <t>"26.8.0"</t>
  </si>
  <si>
    <t>"26.80"</t>
  </si>
  <si>
    <t>"27"</t>
  </si>
  <si>
    <t>"Manufacture of electrical equipment"</t>
  </si>
  <si>
    <t>"27.1"</t>
  </si>
  <si>
    <t>"Manufacture of electric motors, generators, transformers and electricity distribution and control apparatus"</t>
  </si>
  <si>
    <t>"27.1.1"</t>
  </si>
  <si>
    <t>"27.11"</t>
  </si>
  <si>
    <t>"Manufacture of electric motors, generators and transformers"</t>
  </si>
  <si>
    <t>"27.1.2"</t>
  </si>
  <si>
    <t>"27.12"</t>
  </si>
  <si>
    <t>"Manufacture of electricity distribution and control apparatus"</t>
  </si>
  <si>
    <t>"27.2"</t>
  </si>
  <si>
    <t>"Manufacture of batteries and accumulators"</t>
  </si>
  <si>
    <t>"27.2.0"</t>
  </si>
  <si>
    <t>"27.20"</t>
  </si>
  <si>
    <t>"27.3"</t>
  </si>
  <si>
    <t>"Manufacture of wiring and wiring devices"</t>
  </si>
  <si>
    <t>"27.3.1"</t>
  </si>
  <si>
    <t>"27.31"</t>
  </si>
  <si>
    <t>"Manufacture of fibre optic cables"</t>
  </si>
  <si>
    <t>"27.3.2"</t>
  </si>
  <si>
    <t>"27.32"</t>
  </si>
  <si>
    <t>"Manufacture of other electronic and electric wires and cables"</t>
  </si>
  <si>
    <t>"27.3.3"</t>
  </si>
  <si>
    <t>"27.33"</t>
  </si>
  <si>
    <t>"Manufacture of wiring devices"</t>
  </si>
  <si>
    <t>"27.4"</t>
  </si>
  <si>
    <t>"Manufacture of electric lighting equipment"</t>
  </si>
  <si>
    <t>"27.4.0"</t>
  </si>
  <si>
    <t>"27.40"</t>
  </si>
  <si>
    <t>"27.5"</t>
  </si>
  <si>
    <t>"Manufacture of domestic appliances"</t>
  </si>
  <si>
    <t>"27.5.1"</t>
  </si>
  <si>
    <t>"27.51"</t>
  </si>
  <si>
    <t>"Manufacture of electric domestic appliances"</t>
  </si>
  <si>
    <t>"27.5.2"</t>
  </si>
  <si>
    <t>"27.52"</t>
  </si>
  <si>
    <t>"Manufacture of non-electric domestic appliances"</t>
  </si>
  <si>
    <t>"27.9"</t>
  </si>
  <si>
    <t>"Manufacture of other electrical equipment"</t>
  </si>
  <si>
    <t>"27.9.0"</t>
  </si>
  <si>
    <t>"27.90"</t>
  </si>
  <si>
    <t>"28"</t>
  </si>
  <si>
    <t>"Manufacture of machinery and equipment n.e.c."</t>
  </si>
  <si>
    <t>"28.1"</t>
  </si>
  <si>
    <t>"Manufacture of general-purpose machinery"</t>
  </si>
  <si>
    <t>"28.1.1"</t>
  </si>
  <si>
    <t>"28.11"</t>
  </si>
  <si>
    <t>"Manufacture of engines and turbines, except aircraft, vehicle and cycle engines"</t>
  </si>
  <si>
    <t>"28.1.2"</t>
  </si>
  <si>
    <t>"28.12"</t>
  </si>
  <si>
    <t>"Manufacture of fluid power equipment"</t>
  </si>
  <si>
    <t>"28.1.3"</t>
  </si>
  <si>
    <t>"28.13"</t>
  </si>
  <si>
    <t>"Manufacture of other pumps and compressors"</t>
  </si>
  <si>
    <t>"28.1.4"</t>
  </si>
  <si>
    <t>"28.14"</t>
  </si>
  <si>
    <t>"Manufacture of other taps and valves"</t>
  </si>
  <si>
    <t>"28.1.5"</t>
  </si>
  <si>
    <t>"28.15"</t>
  </si>
  <si>
    <t>"Manufacture of bearings, gears, gearing and driving elements"</t>
  </si>
  <si>
    <t>"28.2"</t>
  </si>
  <si>
    <t>"Manufacture of other general-purpose machinery"</t>
  </si>
  <si>
    <t>"28.2.1"</t>
  </si>
  <si>
    <t>"28.21"</t>
  </si>
  <si>
    <t>"Manufacture of ovens, furnaces and furnace burners"</t>
  </si>
  <si>
    <t>"28.2.2"</t>
  </si>
  <si>
    <t>"28.22"</t>
  </si>
  <si>
    <t>"Manufacture of lifting and handling equipment"</t>
  </si>
  <si>
    <t>"28.2.3"</t>
  </si>
  <si>
    <t>"28.23"</t>
  </si>
  <si>
    <t>"Manufacture of office machinery and equipment (except computers and peripheral equipment)"</t>
  </si>
  <si>
    <t>"28.2.4"</t>
  </si>
  <si>
    <t>"28.24"</t>
  </si>
  <si>
    <t>"Manufacture of power-driven hand tools"</t>
  </si>
  <si>
    <t>"28.2.5"</t>
  </si>
  <si>
    <t>"28.25"</t>
  </si>
  <si>
    <t>"Manufacture of non-domestic cooling and ventilation equipment"</t>
  </si>
  <si>
    <t>"28.2.9"</t>
  </si>
  <si>
    <t>"28.29"</t>
  </si>
  <si>
    <t>"Manufacture of other general-purpose machinery n.e.c."</t>
  </si>
  <si>
    <t>"28.3"</t>
  </si>
  <si>
    <t>"Manufacture of agricultural and forestry machinery"</t>
  </si>
  <si>
    <t>"28.3.0"</t>
  </si>
  <si>
    <t>"28.30"</t>
  </si>
  <si>
    <t>"28.4"</t>
  </si>
  <si>
    <t>"Manufacture of metal forming machinery and machine tools"</t>
  </si>
  <si>
    <t>"28.4.1"</t>
  </si>
  <si>
    <t>"28.41"</t>
  </si>
  <si>
    <t>"Manufacture of metal forming machinery"</t>
  </si>
  <si>
    <t>"28.4.9"</t>
  </si>
  <si>
    <t>"28.49"</t>
  </si>
  <si>
    <t>"Manufacture of other machine tools"</t>
  </si>
  <si>
    <t>"28.9"</t>
  </si>
  <si>
    <t>"Manufacture of other special-purpose machinery"</t>
  </si>
  <si>
    <t>"28.9.1"</t>
  </si>
  <si>
    <t>"28.91"</t>
  </si>
  <si>
    <t>"Manufacture of machinery for metallurgy"</t>
  </si>
  <si>
    <t>"28.9.2"</t>
  </si>
  <si>
    <t>"28.92"</t>
  </si>
  <si>
    <t>"Manufacture of machinery for mining, quarrying and construction"</t>
  </si>
  <si>
    <t>"28.9.3"</t>
  </si>
  <si>
    <t>"28.93"</t>
  </si>
  <si>
    <t>"Manufacture of machinery for food, beverage and tobacco processing"</t>
  </si>
  <si>
    <t>"28.9.4"</t>
  </si>
  <si>
    <t>"28.94"</t>
  </si>
  <si>
    <t>"Manufacture of machinery for textile, apparel and leather production"</t>
  </si>
  <si>
    <t>"28.9.5"</t>
  </si>
  <si>
    <t>"28.95"</t>
  </si>
  <si>
    <t>"Manufacture of machinery for paper and paperboard production"</t>
  </si>
  <si>
    <t>"28.9.6"</t>
  </si>
  <si>
    <t>"28.96"</t>
  </si>
  <si>
    <t>"Manufacture of plastics and rubber machinery"</t>
  </si>
  <si>
    <t>"28.9.9"</t>
  </si>
  <si>
    <t>"28.99"</t>
  </si>
  <si>
    <t>"Manufacture of other special-purpose machinery n.e.c."</t>
  </si>
  <si>
    <t>"29"</t>
  </si>
  <si>
    <t>"Manufacture of motor vehicles, trailers and semi-trailers"</t>
  </si>
  <si>
    <t>"29.1"</t>
  </si>
  <si>
    <t>"Manufacture of motor vehicles"</t>
  </si>
  <si>
    <t>"29.1.0"</t>
  </si>
  <si>
    <t>"29.10"</t>
  </si>
  <si>
    <t>"29.2"</t>
  </si>
  <si>
    <t>"Manufacture of bodies (coachwork) for motor vehicles; manufacture of trailers and semi-trailers"</t>
  </si>
  <si>
    <t>"29.2.0"</t>
  </si>
  <si>
    <t>"29.20"</t>
  </si>
  <si>
    <t>"29.3"</t>
  </si>
  <si>
    <t>"Manufacture of parts and accessories for motor vehicles"</t>
  </si>
  <si>
    <t>"29.3.1"</t>
  </si>
  <si>
    <t>"29.31"</t>
  </si>
  <si>
    <t>"Manufacture of electrical and electronic equipment for motor vehicles"</t>
  </si>
  <si>
    <t>"29.3.2"</t>
  </si>
  <si>
    <t>"29.32"</t>
  </si>
  <si>
    <t>"Manufacture of other parts and accessories for motor vehicles"</t>
  </si>
  <si>
    <t>"30"</t>
  </si>
  <si>
    <t>"Manufacture of other transport equipment"</t>
  </si>
  <si>
    <t>"30.1"</t>
  </si>
  <si>
    <t>"Building of ships and boats"</t>
  </si>
  <si>
    <t>"30.1.1"</t>
  </si>
  <si>
    <t>"30.11"</t>
  </si>
  <si>
    <t>"Building of ships and floating structures"</t>
  </si>
  <si>
    <t>"30.1.2"</t>
  </si>
  <si>
    <t>"30.12"</t>
  </si>
  <si>
    <t>"Building of pleasure and sporting boats"</t>
  </si>
  <si>
    <t>"30.2"</t>
  </si>
  <si>
    <t>"Manufacture of railway locomotives and rolling stock"</t>
  </si>
  <si>
    <t>"30.2.0"</t>
  </si>
  <si>
    <t>"30.20"</t>
  </si>
  <si>
    <t>"30.3"</t>
  </si>
  <si>
    <t>"Manufacture of air and spacecraft and related machinery"</t>
  </si>
  <si>
    <t>"30.3.0"</t>
  </si>
  <si>
    <t>"30.30"</t>
  </si>
  <si>
    <t>"30.4"</t>
  </si>
  <si>
    <t>"Manufacture of military fighting vehicles"</t>
  </si>
  <si>
    <t>"30.4.0"</t>
  </si>
  <si>
    <t>"30.40"</t>
  </si>
  <si>
    <t>"30.9"</t>
  </si>
  <si>
    <t>"Manufacture of transport equipment n.e.c."</t>
  </si>
  <si>
    <t>"30.9.1"</t>
  </si>
  <si>
    <t>"30.91"</t>
  </si>
  <si>
    <t>"Manufacture of motorcycles"</t>
  </si>
  <si>
    <t>"30.9.2"</t>
  </si>
  <si>
    <t>"30.92"</t>
  </si>
  <si>
    <t>"Manufacture of bicycles and invalid carriages"</t>
  </si>
  <si>
    <t>"30.9.9"</t>
  </si>
  <si>
    <t>"30.99"</t>
  </si>
  <si>
    <t>"Manufacture of other transport equipment n.e.c."</t>
  </si>
  <si>
    <t>"31"</t>
  </si>
  <si>
    <t>"Manufacture of furniture"</t>
  </si>
  <si>
    <t>"31.0"</t>
  </si>
  <si>
    <t>"31.0.1"</t>
  </si>
  <si>
    <t>"31.01"</t>
  </si>
  <si>
    <t>"Manufacture of office and shop furniture"</t>
  </si>
  <si>
    <t>"31.0.2"</t>
  </si>
  <si>
    <t>"31.02"</t>
  </si>
  <si>
    <t>"Manufacture of kitchen furniture"</t>
  </si>
  <si>
    <t>"31.0.3"</t>
  </si>
  <si>
    <t>"31.03"</t>
  </si>
  <si>
    <t>"Manufacture of mattresses"</t>
  </si>
  <si>
    <t>"31.0.9"</t>
  </si>
  <si>
    <t>"31.09"</t>
  </si>
  <si>
    <t>"Manufacture of other furniture"</t>
  </si>
  <si>
    <t>"32"</t>
  </si>
  <si>
    <t>"Other manufacturing"</t>
  </si>
  <si>
    <t>"32.1"</t>
  </si>
  <si>
    <t>"Manufacture of jewellery, bijouterie and related articles"</t>
  </si>
  <si>
    <t>"32.1.1"</t>
  </si>
  <si>
    <t>"32.11"</t>
  </si>
  <si>
    <t>"Striking of coins"</t>
  </si>
  <si>
    <t>"32.1.2"</t>
  </si>
  <si>
    <t>"32.12"</t>
  </si>
  <si>
    <t>"Manufacture of jewellery and related articles"</t>
  </si>
  <si>
    <t>"32.1.3"</t>
  </si>
  <si>
    <t>"32.13"</t>
  </si>
  <si>
    <t>"Manufacture of imitation jewellery and related articles"</t>
  </si>
  <si>
    <t>"32.2"</t>
  </si>
  <si>
    <t>"Manufacture of musical instruments"</t>
  </si>
  <si>
    <t>"32.2.0"</t>
  </si>
  <si>
    <t>"32.20"</t>
  </si>
  <si>
    <t>"32.3"</t>
  </si>
  <si>
    <t>"Manufacture of sports goods"</t>
  </si>
  <si>
    <t>"32.3.0"</t>
  </si>
  <si>
    <t>"32.30"</t>
  </si>
  <si>
    <t>"32.4"</t>
  </si>
  <si>
    <t>"Manufacture of games and toys"</t>
  </si>
  <si>
    <t>"32.4.0"</t>
  </si>
  <si>
    <t>"32.40"</t>
  </si>
  <si>
    <t>"32.5"</t>
  </si>
  <si>
    <t>"Manufacture of medical and dental instruments and supplies"</t>
  </si>
  <si>
    <t>"32.5.0"</t>
  </si>
  <si>
    <t>"32.50"</t>
  </si>
  <si>
    <t>"32.9"</t>
  </si>
  <si>
    <t>"Manufacturing n.e.c."</t>
  </si>
  <si>
    <t>"32.9.1"</t>
  </si>
  <si>
    <t>"32.91"</t>
  </si>
  <si>
    <t>"Manufacture of brooms and brushes"</t>
  </si>
  <si>
    <t>"32.9.9"</t>
  </si>
  <si>
    <t>"32.99"</t>
  </si>
  <si>
    <t>"Other manufacturing n.e.c."</t>
  </si>
  <si>
    <t>"33"</t>
  </si>
  <si>
    <t>"Repair and installation of machinery and equipment"</t>
  </si>
  <si>
    <t>"33.1"</t>
  </si>
  <si>
    <t>"Repair of fabricated metal products, machinery and equipment"</t>
  </si>
  <si>
    <t>"33.1.1"</t>
  </si>
  <si>
    <t>"33.11"</t>
  </si>
  <si>
    <t>"Repair of fabricated metal products"</t>
  </si>
  <si>
    <t>"33.1.2"</t>
  </si>
  <si>
    <t>"33.12"</t>
  </si>
  <si>
    <t>"Repair of machinery"</t>
  </si>
  <si>
    <t>"33.1.3"</t>
  </si>
  <si>
    <t>"33.13"</t>
  </si>
  <si>
    <t>"Repair of electronic and optical equipment"</t>
  </si>
  <si>
    <t>"33.1.4"</t>
  </si>
  <si>
    <t>"33.14"</t>
  </si>
  <si>
    <t>"Repair of electrical equipment"</t>
  </si>
  <si>
    <t>"33.1.5"</t>
  </si>
  <si>
    <t>"33.15"</t>
  </si>
  <si>
    <t>"Repair and maintenance of ships and boats"</t>
  </si>
  <si>
    <t>"33.1.6"</t>
  </si>
  <si>
    <t>"33.16"</t>
  </si>
  <si>
    <t>"Repair and maintenance of aircraft and spacecraft"</t>
  </si>
  <si>
    <t>"33.1.7"</t>
  </si>
  <si>
    <t>"33.17"</t>
  </si>
  <si>
    <t>"Repair and maintenance of other transport equipment"</t>
  </si>
  <si>
    <t>"33.1.9"</t>
  </si>
  <si>
    <t>"33.19"</t>
  </si>
  <si>
    <t>"Repair of other equipment"</t>
  </si>
  <si>
    <t>"33.2"</t>
  </si>
  <si>
    <t>"Installation of industrial machinery and equipment"</t>
  </si>
  <si>
    <t>"33.2.0"</t>
  </si>
  <si>
    <t>"33.20"</t>
  </si>
  <si>
    <t>"D"</t>
  </si>
  <si>
    <t>"Electricity, gas, steam and air conditioning supply"</t>
  </si>
  <si>
    <t>"35"</t>
  </si>
  <si>
    <t>"35.1"</t>
  </si>
  <si>
    <t>"Electric power generation, transmission and distribution"</t>
  </si>
  <si>
    <t>"35.1.1"</t>
  </si>
  <si>
    <t>"35.11"</t>
  </si>
  <si>
    <t>"Production of electricity"</t>
  </si>
  <si>
    <t>"35.1.2"</t>
  </si>
  <si>
    <t>"35.12"</t>
  </si>
  <si>
    <t>"Transmission of electricity"</t>
  </si>
  <si>
    <t>"35.1.3"</t>
  </si>
  <si>
    <t>"35.13"</t>
  </si>
  <si>
    <t>"Distribution of electricity"</t>
  </si>
  <si>
    <t>"35.1.4"</t>
  </si>
  <si>
    <t>"35.14"</t>
  </si>
  <si>
    <t>"Trade of electricity"</t>
  </si>
  <si>
    <t>"35.2"</t>
  </si>
  <si>
    <t>"Manufacture of gas; distribution of gaseous fuels through mains"</t>
  </si>
  <si>
    <t>"35.2.1"</t>
  </si>
  <si>
    <t>"35.21"</t>
  </si>
  <si>
    <t>"Manufacture of gas"</t>
  </si>
  <si>
    <t>"35.2.2"</t>
  </si>
  <si>
    <t>"35.22"</t>
  </si>
  <si>
    <t>"Distribution of gaseous fuels through mains"</t>
  </si>
  <si>
    <t>"35.2.3"</t>
  </si>
  <si>
    <t>"35.23"</t>
  </si>
  <si>
    <t>"Trade of gas through mains"</t>
  </si>
  <si>
    <t>"35.3"</t>
  </si>
  <si>
    <t>"Steam and air conditioning supply"</t>
  </si>
  <si>
    <t>"35.3.0"</t>
  </si>
  <si>
    <t>"35.30"</t>
  </si>
  <si>
    <t>"E"</t>
  </si>
  <si>
    <t>"Water supply; sewerage; waste managment and remediation activities"</t>
  </si>
  <si>
    <t>"36"</t>
  </si>
  <si>
    <t>"Water collection, treatment and supply"</t>
  </si>
  <si>
    <t>"36.0"</t>
  </si>
  <si>
    <t>"36.0.0"</t>
  </si>
  <si>
    <t>"36.00"</t>
  </si>
  <si>
    <t>"37"</t>
  </si>
  <si>
    <t>"Sewerage"</t>
  </si>
  <si>
    <t>"37.0"</t>
  </si>
  <si>
    <t>"37.0.0"</t>
  </si>
  <si>
    <t>"37.00"</t>
  </si>
  <si>
    <t>"38"</t>
  </si>
  <si>
    <t>"Waste collection, treatment and disposal activities; materials recovery"</t>
  </si>
  <si>
    <t>"38.1"</t>
  </si>
  <si>
    <t>"Waste collection"</t>
  </si>
  <si>
    <t>"38.1.1"</t>
  </si>
  <si>
    <t>"38.11"</t>
  </si>
  <si>
    <t>"Collection of non-hazardous waste"</t>
  </si>
  <si>
    <t>"38.1.2"</t>
  </si>
  <si>
    <t>"38.12"</t>
  </si>
  <si>
    <t>"Collection of hazardous waste"</t>
  </si>
  <si>
    <t>"38.2"</t>
  </si>
  <si>
    <t>"Waste treatment and disposal"</t>
  </si>
  <si>
    <t>"38.2.1"</t>
  </si>
  <si>
    <t>"38.21"</t>
  </si>
  <si>
    <t>"Treatment and disposal of non-hazardous waste"</t>
  </si>
  <si>
    <t>"38.2.2"</t>
  </si>
  <si>
    <t>"38.22"</t>
  </si>
  <si>
    <t>"Treatment and disposal of hazardous waste"</t>
  </si>
  <si>
    <t>"38.3"</t>
  </si>
  <si>
    <t>"Materials recovery"</t>
  </si>
  <si>
    <t>"38.3.1"</t>
  </si>
  <si>
    <t>"38.31"</t>
  </si>
  <si>
    <t>"Dismantling of wrecks"</t>
  </si>
  <si>
    <t>"38.3.2"</t>
  </si>
  <si>
    <t>"38.32"</t>
  </si>
  <si>
    <t>"Recovery of sorted materials"</t>
  </si>
  <si>
    <t>"39"</t>
  </si>
  <si>
    <t>"Remediation activities and other waste management services"</t>
  </si>
  <si>
    <t>"39.0"</t>
  </si>
  <si>
    <t>"39.0.0"</t>
  </si>
  <si>
    <t>"39.00"</t>
  </si>
  <si>
    <t>"F"</t>
  </si>
  <si>
    <t>"Construction"</t>
  </si>
  <si>
    <t>"41"</t>
  </si>
  <si>
    <t>"Construction of buildings"</t>
  </si>
  <si>
    <t>"41.1"</t>
  </si>
  <si>
    <t>"Development of building projects"</t>
  </si>
  <si>
    <t>"41.1.0"</t>
  </si>
  <si>
    <t>"41.10"</t>
  </si>
  <si>
    <t>"41.2"</t>
  </si>
  <si>
    <t>"Construction of residential and non-residential buildings"</t>
  </si>
  <si>
    <t>"41.2.0"</t>
  </si>
  <si>
    <t>"41.20"</t>
  </si>
  <si>
    <t>"42"</t>
  </si>
  <si>
    <t>"Civil engineering"</t>
  </si>
  <si>
    <t>"42.1"</t>
  </si>
  <si>
    <t>"Construction of roads and railways"</t>
  </si>
  <si>
    <t>"42.1.1"</t>
  </si>
  <si>
    <t>"42.11"</t>
  </si>
  <si>
    <t>"Construction of roads and motorways"</t>
  </si>
  <si>
    <t>"42.1.2"</t>
  </si>
  <si>
    <t>"42.12"</t>
  </si>
  <si>
    <t>"Construction of railways and underground railways"</t>
  </si>
  <si>
    <t>"42.1.3"</t>
  </si>
  <si>
    <t>"42.13"</t>
  </si>
  <si>
    <t>"Construction of bridges and tunnels"</t>
  </si>
  <si>
    <t>"42.2"</t>
  </si>
  <si>
    <t>"Construction of utility projects"</t>
  </si>
  <si>
    <t>"42.2.1"</t>
  </si>
  <si>
    <t>"42.21"</t>
  </si>
  <si>
    <t>"Construction of utility projects for fluids"</t>
  </si>
  <si>
    <t>"42.2.2"</t>
  </si>
  <si>
    <t>"42.22"</t>
  </si>
  <si>
    <t>"Construction of utility projects for electricity and telecommunications"</t>
  </si>
  <si>
    <t>"42.9"</t>
  </si>
  <si>
    <t>"Construction of other civil engineering projects"</t>
  </si>
  <si>
    <t>"42.9.1"</t>
  </si>
  <si>
    <t>"42.91"</t>
  </si>
  <si>
    <t>"Construction of water projects"</t>
  </si>
  <si>
    <t>"42.9.9"</t>
  </si>
  <si>
    <t>"42.99"</t>
  </si>
  <si>
    <t>"Construction of other civil engineering projects n.e.c."</t>
  </si>
  <si>
    <t>"43"</t>
  </si>
  <si>
    <t>"Specialised construction activities"</t>
  </si>
  <si>
    <t>"43.1"</t>
  </si>
  <si>
    <t>"Demolition and site preparation"</t>
  </si>
  <si>
    <t>"43.1.1"</t>
  </si>
  <si>
    <t>"43.11"</t>
  </si>
  <si>
    <t>"Demolition"</t>
  </si>
  <si>
    <t>"43.1.2"</t>
  </si>
  <si>
    <t>"43.12"</t>
  </si>
  <si>
    <t>"Site preparation"</t>
  </si>
  <si>
    <t>"43.1.3"</t>
  </si>
  <si>
    <t>"43.13"</t>
  </si>
  <si>
    <t>"Test drilling and boring"</t>
  </si>
  <si>
    <t>"43.2"</t>
  </si>
  <si>
    <t>"Electrical, plumbing and other construction installation activities"</t>
  </si>
  <si>
    <t>"43.2.1"</t>
  </si>
  <si>
    <t>"43.21"</t>
  </si>
  <si>
    <t>"Electrical installation"</t>
  </si>
  <si>
    <t>"43.2.2"</t>
  </si>
  <si>
    <t>"43.22"</t>
  </si>
  <si>
    <t>"Plumbing, heat and air-conditioning installation"</t>
  </si>
  <si>
    <t>"43.2.9"</t>
  </si>
  <si>
    <t>"43.29"</t>
  </si>
  <si>
    <t>"Other construction installation"</t>
  </si>
  <si>
    <t>"43.3"</t>
  </si>
  <si>
    <t>"Building completion and finishing"</t>
  </si>
  <si>
    <t>"43.3.1"</t>
  </si>
  <si>
    <t>"43.31"</t>
  </si>
  <si>
    <t>"Plastering"</t>
  </si>
  <si>
    <t>"43.3.2"</t>
  </si>
  <si>
    <t>"43.32"</t>
  </si>
  <si>
    <t>"Joinery installation"</t>
  </si>
  <si>
    <t>"43.3.3"</t>
  </si>
  <si>
    <t>"43.33"</t>
  </si>
  <si>
    <t>"Floor and wall covering"</t>
  </si>
  <si>
    <t>"43.3.4"</t>
  </si>
  <si>
    <t>"43.34"</t>
  </si>
  <si>
    <t>"Painting and glazing"</t>
  </si>
  <si>
    <t>"43.3.9"</t>
  </si>
  <si>
    <t>"43.39"</t>
  </si>
  <si>
    <t>"Other building completion and finishing"</t>
  </si>
  <si>
    <t>"43.9"</t>
  </si>
  <si>
    <t>"Other specialised construction activities"</t>
  </si>
  <si>
    <t>"43.9.1"</t>
  </si>
  <si>
    <t>"43.91"</t>
  </si>
  <si>
    <t>"Roofing activities"</t>
  </si>
  <si>
    <t>"43.9.9"</t>
  </si>
  <si>
    <t>"43.99"</t>
  </si>
  <si>
    <t>"Other specialised construction activities n.e.c."</t>
  </si>
  <si>
    <t>"G"</t>
  </si>
  <si>
    <t>"Wholesale and retail trade; repair of motor vehicles and motorcycles"</t>
  </si>
  <si>
    <t>"45"</t>
  </si>
  <si>
    <t>"Wholesale and retail trade and repair of motor vehicles and motorcycles"</t>
  </si>
  <si>
    <t>"45.1"</t>
  </si>
  <si>
    <t>"Sale of motor vehicles"</t>
  </si>
  <si>
    <t>"45.1.1"</t>
  </si>
  <si>
    <t>"45.11"</t>
  </si>
  <si>
    <t>"Sale of cars and light motor vehicles"</t>
  </si>
  <si>
    <t>"45.1.9"</t>
  </si>
  <si>
    <t>"45.19"</t>
  </si>
  <si>
    <t>"Sale of other motor vehicles"</t>
  </si>
  <si>
    <t>"45.2"</t>
  </si>
  <si>
    <t>"Maintenance and repair of motor vehicles"</t>
  </si>
  <si>
    <t>"45.2.0"</t>
  </si>
  <si>
    <t>"45.20"</t>
  </si>
  <si>
    <t>"45.3"</t>
  </si>
  <si>
    <t>"Sale of motor vehicle parts and accessories"</t>
  </si>
  <si>
    <t>"45.3.1"</t>
  </si>
  <si>
    <t>"45.31"</t>
  </si>
  <si>
    <t>"Wholesale trade of motor vehicle parts and accessories"</t>
  </si>
  <si>
    <t>"45.3.2"</t>
  </si>
  <si>
    <t>"45.32"</t>
  </si>
  <si>
    <t>"Retail trade of motor vehicle parts and accessories"</t>
  </si>
  <si>
    <t>"45.4"</t>
  </si>
  <si>
    <t>"Sale, maintenance and repair of motorcycles and related parts and accessories"</t>
  </si>
  <si>
    <t>"45.4.0"</t>
  </si>
  <si>
    <t>"45.40"</t>
  </si>
  <si>
    <t>"46"</t>
  </si>
  <si>
    <t>"Wholesale trade, except of motor vehicles and motorcycles"</t>
  </si>
  <si>
    <t>"46.1"</t>
  </si>
  <si>
    <t>"Wholesale on a fee or contract basis"</t>
  </si>
  <si>
    <t>"46.1.1"</t>
  </si>
  <si>
    <t>"46.11"</t>
  </si>
  <si>
    <t>"Agents involved in the sale of agricultural raw materials, live animals, textile raw materials and semi-finished goods"</t>
  </si>
  <si>
    <t>"46.1.2"</t>
  </si>
  <si>
    <t>"46.12"</t>
  </si>
  <si>
    <t>"Agents involved in the sale of fuels, ores, metals and industrial chemicals"</t>
  </si>
  <si>
    <t>"46.1.3"</t>
  </si>
  <si>
    <t>"46.13"</t>
  </si>
  <si>
    <t>"Agents involved in the sale of timber and building materials"</t>
  </si>
  <si>
    <t>"46.1.4"</t>
  </si>
  <si>
    <t>"46.14"</t>
  </si>
  <si>
    <t>"Agents involved in the sale of machinery, industrial equipment, ships and aircraft"</t>
  </si>
  <si>
    <t>"46.1.5"</t>
  </si>
  <si>
    <t>"46.15"</t>
  </si>
  <si>
    <t>"Agents involved in the sale of furniture, household goods, hardware and ironmongery"</t>
  </si>
  <si>
    <t>"46.1.6"</t>
  </si>
  <si>
    <t>"46.16"</t>
  </si>
  <si>
    <t>"Agents involved in the sale of textiles, clothing, fur, footwear and leather goods"</t>
  </si>
  <si>
    <t>"46.1.7"</t>
  </si>
  <si>
    <t>"46.17"</t>
  </si>
  <si>
    <t>"Agents involved in the sale of food, beverages and tobacco"</t>
  </si>
  <si>
    <t>"46.1.8"</t>
  </si>
  <si>
    <t>"46.18"</t>
  </si>
  <si>
    <t>"Agents specialised in the sale of other particular products"</t>
  </si>
  <si>
    <t>"46.1.9"</t>
  </si>
  <si>
    <t>"46.19"</t>
  </si>
  <si>
    <t>"Agents involved in the sale of a variety of goods"</t>
  </si>
  <si>
    <t>"46.2"</t>
  </si>
  <si>
    <t>"Wholesale of agricultural raw materials and live animals"</t>
  </si>
  <si>
    <t>"46.2.1"</t>
  </si>
  <si>
    <t>"46.21"</t>
  </si>
  <si>
    <t>"Wholesale of grain, unmanufactured tobacco, seeds and animal feeds"</t>
  </si>
  <si>
    <t>"46.2.2"</t>
  </si>
  <si>
    <t>"46.22"</t>
  </si>
  <si>
    <t>"Wholesale of flowers and plants"</t>
  </si>
  <si>
    <t>"46.2.3"</t>
  </si>
  <si>
    <t>"46.23"</t>
  </si>
  <si>
    <t>"Wholesale of live animals"</t>
  </si>
  <si>
    <t>"46.2.4"</t>
  </si>
  <si>
    <t>"46.24"</t>
  </si>
  <si>
    <t>"Wholesale of hides, skins and leather"</t>
  </si>
  <si>
    <t>"46.3"</t>
  </si>
  <si>
    <t>"Wholesale of food, beverages and tobacco"</t>
  </si>
  <si>
    <t>"46.3.1"</t>
  </si>
  <si>
    <t>"46.31"</t>
  </si>
  <si>
    <t>"Wholesale of fruit and vegetables"</t>
  </si>
  <si>
    <t>"46.3.2"</t>
  </si>
  <si>
    <t>"46.32"</t>
  </si>
  <si>
    <t>"Wholesale of meat and meat products"</t>
  </si>
  <si>
    <t>"46.3.3"</t>
  </si>
  <si>
    <t>"46.33"</t>
  </si>
  <si>
    <t>"Wholesale of dairy products, eggs and edible oils and fats"</t>
  </si>
  <si>
    <t>"46.3.4"</t>
  </si>
  <si>
    <t>"46.34"</t>
  </si>
  <si>
    <t>"Wholesale of beverages"</t>
  </si>
  <si>
    <t>"46.3.5"</t>
  </si>
  <si>
    <t>"46.35"</t>
  </si>
  <si>
    <t>"Wholesale of tobacco products"</t>
  </si>
  <si>
    <t>"46.3.6"</t>
  </si>
  <si>
    <t>"46.36"</t>
  </si>
  <si>
    <t>"Wholesale of sugar and chocolate and sugar confectionery"</t>
  </si>
  <si>
    <t>"46.3.7"</t>
  </si>
  <si>
    <t>"46.37"</t>
  </si>
  <si>
    <t>"Wholesale of coffee, tea, cocoa and spices"</t>
  </si>
  <si>
    <t>"46.3.8"</t>
  </si>
  <si>
    <t>"46.38"</t>
  </si>
  <si>
    <t>"Wholesale of other food, including fish, crustaceans and molluscs"</t>
  </si>
  <si>
    <t>"46.3.9"</t>
  </si>
  <si>
    <t>"46.39"</t>
  </si>
  <si>
    <t>"Non-specialised wholesale of food, beverages and tobacco"</t>
  </si>
  <si>
    <t>"46.4"</t>
  </si>
  <si>
    <t>"Wholesale of household goods"</t>
  </si>
  <si>
    <t>"46.4.1"</t>
  </si>
  <si>
    <t>"46.41"</t>
  </si>
  <si>
    <t>"Wholesale of textiles"</t>
  </si>
  <si>
    <t>"46.4.2"</t>
  </si>
  <si>
    <t>"46.42"</t>
  </si>
  <si>
    <t>"Wholesale of clothing and footwear"</t>
  </si>
  <si>
    <t>"46.4.3"</t>
  </si>
  <si>
    <t>"46.43"</t>
  </si>
  <si>
    <t>"Wholesale of electrical household appliances"</t>
  </si>
  <si>
    <t>"46.4.4"</t>
  </si>
  <si>
    <t>"46.44"</t>
  </si>
  <si>
    <t>"Wholesale of china and glassware and cleaning materials"</t>
  </si>
  <si>
    <t>"46.4.5"</t>
  </si>
  <si>
    <t>"46.45"</t>
  </si>
  <si>
    <t>"Wholesale of perfume and cosmetics"</t>
  </si>
  <si>
    <t>"46.4.6"</t>
  </si>
  <si>
    <t>"46.46"</t>
  </si>
  <si>
    <t>"Wholesale of pharmaceutical goods"</t>
  </si>
  <si>
    <t>"46.4.7"</t>
  </si>
  <si>
    <t>"46.47"</t>
  </si>
  <si>
    <t>"Wholesale of furniture, carpets and lighting equipment"</t>
  </si>
  <si>
    <t>"46.4.8"</t>
  </si>
  <si>
    <t>"46.48"</t>
  </si>
  <si>
    <t>"Wholesale of watches and jewellery"</t>
  </si>
  <si>
    <t>"46.4.9"</t>
  </si>
  <si>
    <t>"46.49"</t>
  </si>
  <si>
    <t>"Wholesale of other household goods"</t>
  </si>
  <si>
    <t>"46.5"</t>
  </si>
  <si>
    <t>"Wholesale of information and communication equipment"</t>
  </si>
  <si>
    <t>"46.5.1"</t>
  </si>
  <si>
    <t>"46.51"</t>
  </si>
  <si>
    <t>"Wholesale of computers, computer peripheral equipment and software"</t>
  </si>
  <si>
    <t>"46.5.2"</t>
  </si>
  <si>
    <t>"46.52"</t>
  </si>
  <si>
    <t>"Wholesale of electronic and telecommunications equipment and parts"</t>
  </si>
  <si>
    <t>"46.6"</t>
  </si>
  <si>
    <t>"Wholesale of other machinery, equipment and supplies"</t>
  </si>
  <si>
    <t>"46.6.1"</t>
  </si>
  <si>
    <t>"46.61"</t>
  </si>
  <si>
    <t>"Wholesale of agricultural machinery, equipment and supplies"</t>
  </si>
  <si>
    <t>"46.6.2"</t>
  </si>
  <si>
    <t>"46.62"</t>
  </si>
  <si>
    <t>"Wholesale of machine tools"</t>
  </si>
  <si>
    <t>"46.6.3"</t>
  </si>
  <si>
    <t>"46.63"</t>
  </si>
  <si>
    <t>"Wholesale of mining, construction and civil engineering machinery"</t>
  </si>
  <si>
    <t>"46.6.4"</t>
  </si>
  <si>
    <t>"46.64"</t>
  </si>
  <si>
    <t>"Wholesale of machinery for the textile industry and of sewing and knitting machines"</t>
  </si>
  <si>
    <t>"46.6.5"</t>
  </si>
  <si>
    <t>"46.65"</t>
  </si>
  <si>
    <t>"Wholesale of office furniture"</t>
  </si>
  <si>
    <t>"46.6.6"</t>
  </si>
  <si>
    <t>"46.66"</t>
  </si>
  <si>
    <t>"Wholesale of other office machinery and equipment"</t>
  </si>
  <si>
    <t>"46.6.9"</t>
  </si>
  <si>
    <t>"46.69"</t>
  </si>
  <si>
    <t>"Wholesale of other machinery and equipment"</t>
  </si>
  <si>
    <t>"46.7"</t>
  </si>
  <si>
    <t>"Other specialised wholesale"</t>
  </si>
  <si>
    <t>"46.7.1"</t>
  </si>
  <si>
    <t>"46.71"</t>
  </si>
  <si>
    <t>"Wholesale of solid, liquid and gaseous fuels and related products"</t>
  </si>
  <si>
    <t>"46.7.2"</t>
  </si>
  <si>
    <t>"46.72"</t>
  </si>
  <si>
    <t>"Wholesale of metals and metal ores"</t>
  </si>
  <si>
    <t>"46.7.3"</t>
  </si>
  <si>
    <t>"46.73"</t>
  </si>
  <si>
    <t>"Wholesale of wood, construction materials and sanitary equipment"</t>
  </si>
  <si>
    <t>"46.7.4"</t>
  </si>
  <si>
    <t>"46.74"</t>
  </si>
  <si>
    <t>"Wholesale of hardware, plumbing and heating equipment and supplies"</t>
  </si>
  <si>
    <t>"46.7.5"</t>
  </si>
  <si>
    <t>"46.75"</t>
  </si>
  <si>
    <t>"Wholesale of chemical products"</t>
  </si>
  <si>
    <t>"46.7.6"</t>
  </si>
  <si>
    <t>"46.76"</t>
  </si>
  <si>
    <t>"Wholesale of other intermediate products"</t>
  </si>
  <si>
    <t>"46.7.7"</t>
  </si>
  <si>
    <t>"46.77"</t>
  </si>
  <si>
    <t>"Wholesale of waste and scrap"</t>
  </si>
  <si>
    <t>"46.9"</t>
  </si>
  <si>
    <t>"Non-specialised wholesale trade"</t>
  </si>
  <si>
    <t>"46.9.0"</t>
  </si>
  <si>
    <t>"46.90"</t>
  </si>
  <si>
    <t>"47"</t>
  </si>
  <si>
    <t>"Retail trade, except of motor vehicles and motorcycles"</t>
  </si>
  <si>
    <t>"47.1"</t>
  </si>
  <si>
    <t>"Retail sale in non-specialised stores"</t>
  </si>
  <si>
    <t>"47.1.1"</t>
  </si>
  <si>
    <t>"47.11"</t>
  </si>
  <si>
    <t>"Retail sale in non-specialised stores with food, beverages or tobacco predominating"</t>
  </si>
  <si>
    <t>"47.1.9"</t>
  </si>
  <si>
    <t>"47.19"</t>
  </si>
  <si>
    <t>"Other retail sale in non-specialised stores"</t>
  </si>
  <si>
    <t>"47.2"</t>
  </si>
  <si>
    <t>"Retail sale of food, beverages and tobacco in specialised stores"</t>
  </si>
  <si>
    <t>"47.2.1"</t>
  </si>
  <si>
    <t>"47.21"</t>
  </si>
  <si>
    <t>"Retail sale of fruit and vegetables in specialised stores"</t>
  </si>
  <si>
    <t>"47.2.2"</t>
  </si>
  <si>
    <t>"47.22"</t>
  </si>
  <si>
    <t>"Retail sale of meat and meat products in specialised stores"</t>
  </si>
  <si>
    <t>"47.2.3"</t>
  </si>
  <si>
    <t>"47.23"</t>
  </si>
  <si>
    <t>"Retail sale of fish, crustaceans and molluscs in specialised stores"</t>
  </si>
  <si>
    <t>"47.2.4"</t>
  </si>
  <si>
    <t>"47.24"</t>
  </si>
  <si>
    <t>"Retail sale of bread, cakes, flour confectionery and sugar confectionery in specialised stores"</t>
  </si>
  <si>
    <t>"47.2.5"</t>
  </si>
  <si>
    <t>"47.25"</t>
  </si>
  <si>
    <t>"Retail sale of beverages in specialised stores"</t>
  </si>
  <si>
    <t>"47.2.6"</t>
  </si>
  <si>
    <t>"47.26"</t>
  </si>
  <si>
    <t>"Retail sale of tobacco products in specialised stores"</t>
  </si>
  <si>
    <t>"47.2.9"</t>
  </si>
  <si>
    <t>"47.29"</t>
  </si>
  <si>
    <t>"Other retail sale of food in specialised stores"</t>
  </si>
  <si>
    <t>"47.3"</t>
  </si>
  <si>
    <t>"Retail sale of automotive fuel in specialised stores"</t>
  </si>
  <si>
    <t>"47.3.0"</t>
  </si>
  <si>
    <t>"47.30"</t>
  </si>
  <si>
    <t>"47.4"</t>
  </si>
  <si>
    <t>"Retail sale of information and communication equipment in specialised stores"</t>
  </si>
  <si>
    <t>"47.4.1"</t>
  </si>
  <si>
    <t>"47.41"</t>
  </si>
  <si>
    <t>"Retail sale of computers, peripheral units and software in specialised stores"</t>
  </si>
  <si>
    <t>"47.4.2"</t>
  </si>
  <si>
    <t>"47.42"</t>
  </si>
  <si>
    <t>"Retail sale of telecommunications equipment in specialised stores"</t>
  </si>
  <si>
    <t>"47.4.3"</t>
  </si>
  <si>
    <t>"47.43"</t>
  </si>
  <si>
    <t>"Retail sale of audio and video equipment in specialised stores"</t>
  </si>
  <si>
    <t>"47.5"</t>
  </si>
  <si>
    <t>"Retail sale of other household equipment in specialised stores"</t>
  </si>
  <si>
    <t>"47.5.1"</t>
  </si>
  <si>
    <t>"47.51"</t>
  </si>
  <si>
    <t>"Retail sale of textiles in specialised stores"</t>
  </si>
  <si>
    <t>"47.5.2"</t>
  </si>
  <si>
    <t>"47.52"</t>
  </si>
  <si>
    <t>"Retail sale of hardware, paints and glass in specialised stores"</t>
  </si>
  <si>
    <t>"47.5.3"</t>
  </si>
  <si>
    <t>"47.53"</t>
  </si>
  <si>
    <t>"Retail sale of carpets, rugs, wall and floor coverings in specialised stores"</t>
  </si>
  <si>
    <t>"47.5.4"</t>
  </si>
  <si>
    <t>"47.54"</t>
  </si>
  <si>
    <t>"Retail sale of electrical household appliances in specialised stores"</t>
  </si>
  <si>
    <t>"47.5.9"</t>
  </si>
  <si>
    <t>"47.59"</t>
  </si>
  <si>
    <t>"Retail sale of furniture, lighting equipment and other household articles in specialised stores"</t>
  </si>
  <si>
    <t>"47.6"</t>
  </si>
  <si>
    <t>"Retail sale of cultural and recreation goods in specialised stores"</t>
  </si>
  <si>
    <t>"47.6.1"</t>
  </si>
  <si>
    <t>"47.61"</t>
  </si>
  <si>
    <t>"Retail sale of books in specialised stores"</t>
  </si>
  <si>
    <t>"47.6.2"</t>
  </si>
  <si>
    <t>"47.62"</t>
  </si>
  <si>
    <t>"Retail sale of newspapers and stationery in specialised stores"</t>
  </si>
  <si>
    <t>"47.6.3"</t>
  </si>
  <si>
    <t>"47.63"</t>
  </si>
  <si>
    <t>"Retail sale of music and video recordings in specialised stores"</t>
  </si>
  <si>
    <t>"47.6.4"</t>
  </si>
  <si>
    <t>"47.64"</t>
  </si>
  <si>
    <t>"Retail sale of sporting equipment in specialised stores"</t>
  </si>
  <si>
    <t>"47.6.5"</t>
  </si>
  <si>
    <t>"47.65"</t>
  </si>
  <si>
    <t>"Retail sale of games and toys in specialised stores"</t>
  </si>
  <si>
    <t>"47.7"</t>
  </si>
  <si>
    <t>"Retail sale of other goods in specialised stores"</t>
  </si>
  <si>
    <t>"47.7.1"</t>
  </si>
  <si>
    <t>"47.71"</t>
  </si>
  <si>
    <t>"Retail sale of clothing in specialised stores"</t>
  </si>
  <si>
    <t>"47.7.2"</t>
  </si>
  <si>
    <t>"47.72"</t>
  </si>
  <si>
    <t>"Retail sale of footwear and leather goods in specialised stores"</t>
  </si>
  <si>
    <t>"47.7.3"</t>
  </si>
  <si>
    <t>"47.73"</t>
  </si>
  <si>
    <t>"Dispensing chemist in specialised stores"</t>
  </si>
  <si>
    <t>"47.7.4"</t>
  </si>
  <si>
    <t>"47.74"</t>
  </si>
  <si>
    <t>"Retail sale of medical and orthopaedic goods in specialised stores"</t>
  </si>
  <si>
    <t>"47.7.5"</t>
  </si>
  <si>
    <t>"47.75"</t>
  </si>
  <si>
    <t>"Retail sale of cosmetic and toilet articles in specialised stores"</t>
  </si>
  <si>
    <t>"47.7.6"</t>
  </si>
  <si>
    <t>"47.76"</t>
  </si>
  <si>
    <t>"Retail sale of flowers, plants, seeds, fertilisers, pet animals and pet food in specialised stores"</t>
  </si>
  <si>
    <t>"47.7.7"</t>
  </si>
  <si>
    <t>"47.77"</t>
  </si>
  <si>
    <t>"Retail sale of watches and jewellery in specialised stores"</t>
  </si>
  <si>
    <t>"47.7.8"</t>
  </si>
  <si>
    <t>"47.78"</t>
  </si>
  <si>
    <t>"Other retail sale of new goods in specialised stores"</t>
  </si>
  <si>
    <t>"47.7.9"</t>
  </si>
  <si>
    <t>"47.79"</t>
  </si>
  <si>
    <t>"Retail sale of second-hand goods in stores"</t>
  </si>
  <si>
    <t>"47.8"</t>
  </si>
  <si>
    <t>"Retail sale via stalls and markets"</t>
  </si>
  <si>
    <t>"47.8.1"</t>
  </si>
  <si>
    <t>"47.81"</t>
  </si>
  <si>
    <t>"Retail sale via stalls and markets of food, beverages and tobacco products"</t>
  </si>
  <si>
    <t>"47.8.2"</t>
  </si>
  <si>
    <t>"47.82"</t>
  </si>
  <si>
    <t>"Retail sale via stalls and markets of textiles, clothing and footwear"</t>
  </si>
  <si>
    <t>"47.8.9"</t>
  </si>
  <si>
    <t>"47.89"</t>
  </si>
  <si>
    <t>"Retail sale via stalls and markets of other goods"</t>
  </si>
  <si>
    <t>"47.9"</t>
  </si>
  <si>
    <t>"Retail trade not in stores, stalls or markets"</t>
  </si>
  <si>
    <t>"47.9.1"</t>
  </si>
  <si>
    <t>"47.91"</t>
  </si>
  <si>
    <t>"Retail sale via mail order houses or via Internet"</t>
  </si>
  <si>
    <t>"47.9.9"</t>
  </si>
  <si>
    <t>"47.99"</t>
  </si>
  <si>
    <t>"Other retail sale not in stores, stalls or markets"</t>
  </si>
  <si>
    <t>"H"</t>
  </si>
  <si>
    <t>"Transporting and storage"</t>
  </si>
  <si>
    <t>"49"</t>
  </si>
  <si>
    <t>"Land transport and transport via pipelines"</t>
  </si>
  <si>
    <t>"49.1"</t>
  </si>
  <si>
    <t>"Passenger rail transport, interurban"</t>
  </si>
  <si>
    <t>"49.1.0"</t>
  </si>
  <si>
    <t>"49.10"</t>
  </si>
  <si>
    <t>"49.2"</t>
  </si>
  <si>
    <t>"Freight rail transport"</t>
  </si>
  <si>
    <t>"49.2.0"</t>
  </si>
  <si>
    <t>"49.20"</t>
  </si>
  <si>
    <t>"49.3"</t>
  </si>
  <si>
    <t>"Other passenger land transport"</t>
  </si>
  <si>
    <t>"49.3.1"</t>
  </si>
  <si>
    <t>"49.31"</t>
  </si>
  <si>
    <t>"Urban and suburban passenger land transport"</t>
  </si>
  <si>
    <t>"49.3.2"</t>
  </si>
  <si>
    <t>"49.32"</t>
  </si>
  <si>
    <t>"Taxi operation"</t>
  </si>
  <si>
    <t>"49.3.9"</t>
  </si>
  <si>
    <t>"49.39"</t>
  </si>
  <si>
    <t>"Other passenger land transport n.e.c."</t>
  </si>
  <si>
    <t>"49.4"</t>
  </si>
  <si>
    <t>"Freight transport by road and removal services"</t>
  </si>
  <si>
    <t>"49.4.1"</t>
  </si>
  <si>
    <t>"49.41"</t>
  </si>
  <si>
    <t>"Freight transport by road"</t>
  </si>
  <si>
    <t>"49.4.2"</t>
  </si>
  <si>
    <t>"49.42"</t>
  </si>
  <si>
    <t>"Removal services"</t>
  </si>
  <si>
    <t>"49.5"</t>
  </si>
  <si>
    <t>"Transport via pipeline"</t>
  </si>
  <si>
    <t>"49.5.0"</t>
  </si>
  <si>
    <t>"49.50"</t>
  </si>
  <si>
    <t>"50"</t>
  </si>
  <si>
    <t>"Water transport"</t>
  </si>
  <si>
    <t>"50.1"</t>
  </si>
  <si>
    <t>"Sea and coastal passenger water transport"</t>
  </si>
  <si>
    <t>"50.1.0"</t>
  </si>
  <si>
    <t>"50.10"</t>
  </si>
  <si>
    <t>"50.2"</t>
  </si>
  <si>
    <t>"Sea and coastal freight water transport"</t>
  </si>
  <si>
    <t>"50.2.0"</t>
  </si>
  <si>
    <t>"50.20"</t>
  </si>
  <si>
    <t>"50.3"</t>
  </si>
  <si>
    <t>"Inland passenger water transport"</t>
  </si>
  <si>
    <t>"50.3.0"</t>
  </si>
  <si>
    <t>"50.30"</t>
  </si>
  <si>
    <t>"50.4"</t>
  </si>
  <si>
    <t>"Inland freight water transport"</t>
  </si>
  <si>
    <t>"50.4.0"</t>
  </si>
  <si>
    <t>"50.40"</t>
  </si>
  <si>
    <t>"51"</t>
  </si>
  <si>
    <t>"Air transport"</t>
  </si>
  <si>
    <t>"51.1"</t>
  </si>
  <si>
    <t>"Passenger air transport"</t>
  </si>
  <si>
    <t>"51.1.0"</t>
  </si>
  <si>
    <t>"51.10"</t>
  </si>
  <si>
    <t>"51.2"</t>
  </si>
  <si>
    <t>"Freight air transport and space transport"</t>
  </si>
  <si>
    <t>"51.2.1"</t>
  </si>
  <si>
    <t>"51.21"</t>
  </si>
  <si>
    <t>"Freight air transport"</t>
  </si>
  <si>
    <t>"51.2.2"</t>
  </si>
  <si>
    <t>"51.22"</t>
  </si>
  <si>
    <t>"Space transport"</t>
  </si>
  <si>
    <t>"52"</t>
  </si>
  <si>
    <t>"Warehousing and support activities for transportation"</t>
  </si>
  <si>
    <t>"52.1"</t>
  </si>
  <si>
    <t>"Warehousing and storage"</t>
  </si>
  <si>
    <t>"52.1.0"</t>
  </si>
  <si>
    <t>"52.10"</t>
  </si>
  <si>
    <t>"52.2"</t>
  </si>
  <si>
    <t>"Support activities for transportation"</t>
  </si>
  <si>
    <t>"52.2.1"</t>
  </si>
  <si>
    <t>"52.21"</t>
  </si>
  <si>
    <t>"Service activities incidental to land transportation"</t>
  </si>
  <si>
    <t>"52.2.2"</t>
  </si>
  <si>
    <t>"52.22"</t>
  </si>
  <si>
    <t>"Service activities incidental to water transportation"</t>
  </si>
  <si>
    <t>"52.2.3"</t>
  </si>
  <si>
    <t>"52.23"</t>
  </si>
  <si>
    <t>"Service activities incidental to air transportation"</t>
  </si>
  <si>
    <t>"52.2.4"</t>
  </si>
  <si>
    <t>"52.24"</t>
  </si>
  <si>
    <t>"Cargo handling"</t>
  </si>
  <si>
    <t>"52.2.9"</t>
  </si>
  <si>
    <t>"52.29"</t>
  </si>
  <si>
    <t>"Other transportation support activities"</t>
  </si>
  <si>
    <t>"53"</t>
  </si>
  <si>
    <t>"Postal and courier activities"</t>
  </si>
  <si>
    <t>"53.1"</t>
  </si>
  <si>
    <t>"Postal activities under universal service obligation"</t>
  </si>
  <si>
    <t>"53.1.0"</t>
  </si>
  <si>
    <t>"53.10"</t>
  </si>
  <si>
    <t>"53.2"</t>
  </si>
  <si>
    <t>"Other postal and courier activities"</t>
  </si>
  <si>
    <t>"53.2.0"</t>
  </si>
  <si>
    <t>"53.20"</t>
  </si>
  <si>
    <t>"I"</t>
  </si>
  <si>
    <t>"Accommodation and food service activities"</t>
  </si>
  <si>
    <t>"55"</t>
  </si>
  <si>
    <t>"Accommodation"</t>
  </si>
  <si>
    <t>"55.1"</t>
  </si>
  <si>
    <t>"Hotels and similar accommodation"</t>
  </si>
  <si>
    <t>"55.1.0"</t>
  </si>
  <si>
    <t>"55.10"</t>
  </si>
  <si>
    <t>"55.2"</t>
  </si>
  <si>
    <t>"Holiday and other short-stay accommodation"</t>
  </si>
  <si>
    <t>"55.2.0"</t>
  </si>
  <si>
    <t>"55.20"</t>
  </si>
  <si>
    <t>"55.3"</t>
  </si>
  <si>
    <t>"Camping grounds, recreational vehicle parks and trailer parks"</t>
  </si>
  <si>
    <t>"55.3.0"</t>
  </si>
  <si>
    <t>"55.30"</t>
  </si>
  <si>
    <t>"55.9"</t>
  </si>
  <si>
    <t>"Other accommodation"</t>
  </si>
  <si>
    <t>"55.9.0"</t>
  </si>
  <si>
    <t>"55.90"</t>
  </si>
  <si>
    <t>"56"</t>
  </si>
  <si>
    <t>"Food and beverage service activities"</t>
  </si>
  <si>
    <t>"56.1"</t>
  </si>
  <si>
    <t>"Restaurants and mobile food service activities"</t>
  </si>
  <si>
    <t>"56.1.0"</t>
  </si>
  <si>
    <t>"56.10"</t>
  </si>
  <si>
    <t>"56.2"</t>
  </si>
  <si>
    <t>"Event catering and other food service activities"</t>
  </si>
  <si>
    <t>"56.2.1"</t>
  </si>
  <si>
    <t>"56.21"</t>
  </si>
  <si>
    <t>"Event catering activities"</t>
  </si>
  <si>
    <t>"56.2.9"</t>
  </si>
  <si>
    <t>"56.29"</t>
  </si>
  <si>
    <t>"Other food service activities"</t>
  </si>
  <si>
    <t>"56.3"</t>
  </si>
  <si>
    <t>"Beverage serving activities"</t>
  </si>
  <si>
    <t>"56.3.0"</t>
  </si>
  <si>
    <t>"56.30"</t>
  </si>
  <si>
    <t>"J"</t>
  </si>
  <si>
    <t>"Information and communication"</t>
  </si>
  <si>
    <t>"58"</t>
  </si>
  <si>
    <t>"Publishing activities"</t>
  </si>
  <si>
    <t>"58.1"</t>
  </si>
  <si>
    <t>"Publishing of books, periodicals and other publishing activities"</t>
  </si>
  <si>
    <t>"58.1.1"</t>
  </si>
  <si>
    <t>"58.11"</t>
  </si>
  <si>
    <t>"Book publishing"</t>
  </si>
  <si>
    <t>"58.1.2"</t>
  </si>
  <si>
    <t>"58.12"</t>
  </si>
  <si>
    <t>"Publishing of directories and mailing lists"</t>
  </si>
  <si>
    <t>"58.1.3"</t>
  </si>
  <si>
    <t>"58.13"</t>
  </si>
  <si>
    <t>"Publishing of newspapers"</t>
  </si>
  <si>
    <t>"58.1.4"</t>
  </si>
  <si>
    <t>"58.14"</t>
  </si>
  <si>
    <t>"Publishing of journals and periodicals"</t>
  </si>
  <si>
    <t>"58.1.9"</t>
  </si>
  <si>
    <t>"58.19"</t>
  </si>
  <si>
    <t>"Other publishing activities"</t>
  </si>
  <si>
    <t>"58.2"</t>
  </si>
  <si>
    <t>"Software publishing"</t>
  </si>
  <si>
    <t>"58.2.1"</t>
  </si>
  <si>
    <t>"58.21"</t>
  </si>
  <si>
    <t>"Publishing of computer games"</t>
  </si>
  <si>
    <t>"58.2.9"</t>
  </si>
  <si>
    <t>"58.29"</t>
  </si>
  <si>
    <t>"Other software publishing"</t>
  </si>
  <si>
    <t>"59"</t>
  </si>
  <si>
    <t>"Motion picture, video and television programme production, sound recording and music publishing activities"</t>
  </si>
  <si>
    <t>"59.1"</t>
  </si>
  <si>
    <t>"Motion picture, video and television programme activities"</t>
  </si>
  <si>
    <t>"59.1.1"</t>
  </si>
  <si>
    <t>"59.11"</t>
  </si>
  <si>
    <t>"Motion picture, video and television programme production activities"</t>
  </si>
  <si>
    <t>"59.1.2"</t>
  </si>
  <si>
    <t>"59.12"</t>
  </si>
  <si>
    <t>"Motion picture, video and television programme post-production activities"</t>
  </si>
  <si>
    <t>"59.1.3"</t>
  </si>
  <si>
    <t>"59.13"</t>
  </si>
  <si>
    <t>"Motion picture, video and television programme distribution activities"</t>
  </si>
  <si>
    <t>"59.1.4"</t>
  </si>
  <si>
    <t>"59.14"</t>
  </si>
  <si>
    <t>"Motion picture projection activities"</t>
  </si>
  <si>
    <t>"59.2"</t>
  </si>
  <si>
    <t>"Sound recording and music publishing activities"</t>
  </si>
  <si>
    <t>"59.2.0"</t>
  </si>
  <si>
    <t>"59.20"</t>
  </si>
  <si>
    <t>"60"</t>
  </si>
  <si>
    <t>"Programming and broadcasting activities"</t>
  </si>
  <si>
    <t>"60.1"</t>
  </si>
  <si>
    <t>"Radio broadcasting"</t>
  </si>
  <si>
    <t>"60.1.0"</t>
  </si>
  <si>
    <t>"60.10"</t>
  </si>
  <si>
    <t>"60.2"</t>
  </si>
  <si>
    <t>"Television programming and broadcasting activities"</t>
  </si>
  <si>
    <t>"60.2.0"</t>
  </si>
  <si>
    <t>"60.20"</t>
  </si>
  <si>
    <t>"61"</t>
  </si>
  <si>
    <t>"Telecommunications"</t>
  </si>
  <si>
    <t>"61.1"</t>
  </si>
  <si>
    <t>"Wired telecommunications activities"</t>
  </si>
  <si>
    <t>"61.1.0"</t>
  </si>
  <si>
    <t>"61.10"</t>
  </si>
  <si>
    <t>"61.2"</t>
  </si>
  <si>
    <t>"Wireless telecommunications activities"</t>
  </si>
  <si>
    <t>"61.2.0"</t>
  </si>
  <si>
    <t>"61.20"</t>
  </si>
  <si>
    <t>"61.3"</t>
  </si>
  <si>
    <t>"Satellite telecommunications activities"</t>
  </si>
  <si>
    <t>"61.3.0"</t>
  </si>
  <si>
    <t>"61.30"</t>
  </si>
  <si>
    <t>"61.9"</t>
  </si>
  <si>
    <t>"Other telecommunications activities"</t>
  </si>
  <si>
    <t>"61.9.0"</t>
  </si>
  <si>
    <t>"61.90"</t>
  </si>
  <si>
    <t>"62"</t>
  </si>
  <si>
    <t>"Computer programming, consultancy and related activities"</t>
  </si>
  <si>
    <t>"62.0"</t>
  </si>
  <si>
    <t>"62.0.1"</t>
  </si>
  <si>
    <t>"62.01"</t>
  </si>
  <si>
    <t>"Computer programming activities"</t>
  </si>
  <si>
    <t>"62.0.2"</t>
  </si>
  <si>
    <t>"62.02"</t>
  </si>
  <si>
    <t>"Computer consultancy activities"</t>
  </si>
  <si>
    <t>"62.0.3"</t>
  </si>
  <si>
    <t>"62.03"</t>
  </si>
  <si>
    <t>"Computer facilities management activities"</t>
  </si>
  <si>
    <t>"62.0.9"</t>
  </si>
  <si>
    <t>"62.09"</t>
  </si>
  <si>
    <t>"Other information technology and computer service activities"</t>
  </si>
  <si>
    <t>"63"</t>
  </si>
  <si>
    <t>"Information service activities"</t>
  </si>
  <si>
    <t>"63.1"</t>
  </si>
  <si>
    <t>"Data processing, hosting and related activities; web portals"</t>
  </si>
  <si>
    <t>"63.1.1"</t>
  </si>
  <si>
    <t>"63.11"</t>
  </si>
  <si>
    <t>"Data processing, hosting and related activities"</t>
  </si>
  <si>
    <t>"63.1.2"</t>
  </si>
  <si>
    <t>"63.12"</t>
  </si>
  <si>
    <t>"Web portals"</t>
  </si>
  <si>
    <t>"63.9"</t>
  </si>
  <si>
    <t>"Other information service activities"</t>
  </si>
  <si>
    <t>"63.9.1"</t>
  </si>
  <si>
    <t>"63.91"</t>
  </si>
  <si>
    <t>"News agency activities"</t>
  </si>
  <si>
    <t>"63.9.9"</t>
  </si>
  <si>
    <t>"63.99"</t>
  </si>
  <si>
    <t>"Other information service activities n.e.c."</t>
  </si>
  <si>
    <t>"K"</t>
  </si>
  <si>
    <t>"Financial and insurance activities"</t>
  </si>
  <si>
    <t>"64"</t>
  </si>
  <si>
    <t>"Financial service activities, except insurance and pension funding"</t>
  </si>
  <si>
    <t>"64.1"</t>
  </si>
  <si>
    <t>"Monetary intermediation"</t>
  </si>
  <si>
    <t>"64.1.1"</t>
  </si>
  <si>
    <t>"64.11"</t>
  </si>
  <si>
    <t>"Central banking"</t>
  </si>
  <si>
    <t>"64.1.9"</t>
  </si>
  <si>
    <t>"64.19"</t>
  </si>
  <si>
    <t>"Other monetary intermediation"</t>
  </si>
  <si>
    <t>"64.2"</t>
  </si>
  <si>
    <t>"Activities of holding companies"</t>
  </si>
  <si>
    <t>"64.2.0"</t>
  </si>
  <si>
    <t>"64.20"</t>
  </si>
  <si>
    <t>"64.3"</t>
  </si>
  <si>
    <t>"Trusts, funds and similar financial entities"</t>
  </si>
  <si>
    <t>"64.3.0"</t>
  </si>
  <si>
    <t>"64.30"</t>
  </si>
  <si>
    <t>"64.9"</t>
  </si>
  <si>
    <t>"Other financial service activities, except insurance and pension funding"</t>
  </si>
  <si>
    <t>"64.9.1"</t>
  </si>
  <si>
    <t>"64.91"</t>
  </si>
  <si>
    <t>"Financial leasing"</t>
  </si>
  <si>
    <t>"64.9.2"</t>
  </si>
  <si>
    <t>"64.92"</t>
  </si>
  <si>
    <t>"Other credit granting"</t>
  </si>
  <si>
    <t>"64.9.9"</t>
  </si>
  <si>
    <t>"64.99"</t>
  </si>
  <si>
    <t>"Other financial service activities, except insurance and pension funding n.e.c."</t>
  </si>
  <si>
    <t>"65"</t>
  </si>
  <si>
    <t>"Insurance, reinsurance and pension funding, except compulsory social security"</t>
  </si>
  <si>
    <t>"65.1"</t>
  </si>
  <si>
    <t>"Insurance"</t>
  </si>
  <si>
    <t>"65.1.1"</t>
  </si>
  <si>
    <t>"65.11"</t>
  </si>
  <si>
    <t>"Life insurance"</t>
  </si>
  <si>
    <t>"65.1.2"</t>
  </si>
  <si>
    <t>"65.12"</t>
  </si>
  <si>
    <t>"Non-life insurance"</t>
  </si>
  <si>
    <t>"65.2"</t>
  </si>
  <si>
    <t>"Reinsurance"</t>
  </si>
  <si>
    <t>"65.2.0"</t>
  </si>
  <si>
    <t>"65.20"</t>
  </si>
  <si>
    <t>"65.3"</t>
  </si>
  <si>
    <t>"Pension funding"</t>
  </si>
  <si>
    <t>"65.3.0"</t>
  </si>
  <si>
    <t>"65.30"</t>
  </si>
  <si>
    <t>"66"</t>
  </si>
  <si>
    <t>"Activities auxiliary to financial services and insurance activities"</t>
  </si>
  <si>
    <t>"66.1"</t>
  </si>
  <si>
    <t>"Activities auxiliary to financial services, except insurance and pension funding"</t>
  </si>
  <si>
    <t>"66.1.1"</t>
  </si>
  <si>
    <t>"66.11"</t>
  </si>
  <si>
    <t>"Administration of financial markets"</t>
  </si>
  <si>
    <t>"66.1.2"</t>
  </si>
  <si>
    <t>"66.12"</t>
  </si>
  <si>
    <t>"Security and commodity contracts brokerage"</t>
  </si>
  <si>
    <t>"66.1.9"</t>
  </si>
  <si>
    <t>"66.19"</t>
  </si>
  <si>
    <t>"Other activities auxiliary to financial services, except insurance and pension funding"</t>
  </si>
  <si>
    <t>"66.2"</t>
  </si>
  <si>
    <t>"Activities auxiliary to insurance and pension funding"</t>
  </si>
  <si>
    <t>"66.2.1"</t>
  </si>
  <si>
    <t>"66.21"</t>
  </si>
  <si>
    <t>"Risk and damage evaluation"</t>
  </si>
  <si>
    <t>"66.2.2"</t>
  </si>
  <si>
    <t>"66.22"</t>
  </si>
  <si>
    <t>"Activities of insurance agents and brokers"</t>
  </si>
  <si>
    <t>"66.2.9"</t>
  </si>
  <si>
    <t>"66.29"</t>
  </si>
  <si>
    <t>"Other activities auxiliary to insurance and pension funding"</t>
  </si>
  <si>
    <t>"66.3"</t>
  </si>
  <si>
    <t>"Fund management activities"</t>
  </si>
  <si>
    <t>"66.3.0"</t>
  </si>
  <si>
    <t>"66.30"</t>
  </si>
  <si>
    <t>"L"</t>
  </si>
  <si>
    <t>"Real estate activities"</t>
  </si>
  <si>
    <t>"68"</t>
  </si>
  <si>
    <t>"68.1"</t>
  </si>
  <si>
    <t>"Buying and selling of own real estate"</t>
  </si>
  <si>
    <t>"68.1.0"</t>
  </si>
  <si>
    <t>"68.10"</t>
  </si>
  <si>
    <t>"68.2"</t>
  </si>
  <si>
    <t>"Renting and operating of own or leased real estate"</t>
  </si>
  <si>
    <t>"68.2.0"</t>
  </si>
  <si>
    <t>"68.20"</t>
  </si>
  <si>
    <t>"68.3"</t>
  </si>
  <si>
    <t>"Real estate activities on a fee or contract basis"</t>
  </si>
  <si>
    <t>"68.3.1"</t>
  </si>
  <si>
    <t>"68.31"</t>
  </si>
  <si>
    <t>"Real estate agencies"</t>
  </si>
  <si>
    <t>"68.3.2"</t>
  </si>
  <si>
    <t>"68.32"</t>
  </si>
  <si>
    <t>"Management of real estate on a fee or contract basis"</t>
  </si>
  <si>
    <t>"M"</t>
  </si>
  <si>
    <t>"Professional, scientific and technical activities"</t>
  </si>
  <si>
    <t>"69"</t>
  </si>
  <si>
    <t>"Legal and accounting activities"</t>
  </si>
  <si>
    <t>"69.1"</t>
  </si>
  <si>
    <t>"Legal activities"</t>
  </si>
  <si>
    <t>"69.1.0"</t>
  </si>
  <si>
    <t>"69.10"</t>
  </si>
  <si>
    <t>"69.2"</t>
  </si>
  <si>
    <t>"Accounting, bookkeeping and auditing activities; tax consultancy"</t>
  </si>
  <si>
    <t>"69.2.0"</t>
  </si>
  <si>
    <t>"69.20"</t>
  </si>
  <si>
    <t>"70"</t>
  </si>
  <si>
    <t>"Activities of head offices; management consultancy activities"</t>
  </si>
  <si>
    <t>"70.1"</t>
  </si>
  <si>
    <t>"Activities of head offices"</t>
  </si>
  <si>
    <t>"70.1.0"</t>
  </si>
  <si>
    <t>"70.10"</t>
  </si>
  <si>
    <t>"70.2"</t>
  </si>
  <si>
    <t>"Management consultancy activities"</t>
  </si>
  <si>
    <t>"70.2.1"</t>
  </si>
  <si>
    <t>"70.21"</t>
  </si>
  <si>
    <t>"Public relations and communication activities"</t>
  </si>
  <si>
    <t>"70.2.2"</t>
  </si>
  <si>
    <t>"70.22"</t>
  </si>
  <si>
    <t>"Business and other management consultancy activities"</t>
  </si>
  <si>
    <t>"71"</t>
  </si>
  <si>
    <t>"Architectural and engineering activities; technical testing and analysis"</t>
  </si>
  <si>
    <t>"71.1"</t>
  </si>
  <si>
    <t>"Architectural and engineering activities and related technical consultancy"</t>
  </si>
  <si>
    <t>"71.1.1"</t>
  </si>
  <si>
    <t>"71.11"</t>
  </si>
  <si>
    <t>"Architectural activities"</t>
  </si>
  <si>
    <t>"71.1.2"</t>
  </si>
  <si>
    <t>"71.12"</t>
  </si>
  <si>
    <t>"Engineering activities and related technical consultancy"</t>
  </si>
  <si>
    <t>"71.2"</t>
  </si>
  <si>
    <t>"Technical testing and analysis"</t>
  </si>
  <si>
    <t>"71.2.0"</t>
  </si>
  <si>
    <t>"71.20"</t>
  </si>
  <si>
    <t>"72"</t>
  </si>
  <si>
    <t>"Scientific research and development"</t>
  </si>
  <si>
    <t>"72.1"</t>
  </si>
  <si>
    <t>"Research and experimental development on natural sciences and engineering"</t>
  </si>
  <si>
    <t>"72.1.1"</t>
  </si>
  <si>
    <t>"72.11"</t>
  </si>
  <si>
    <t>"Research and experimental development on biotechnology"</t>
  </si>
  <si>
    <t>"72.1.9"</t>
  </si>
  <si>
    <t>"72.19"</t>
  </si>
  <si>
    <t>"Other research and experimental development on natural sciences and engineering"</t>
  </si>
  <si>
    <t>"72.2"</t>
  </si>
  <si>
    <t>"Research and experimental development on social sciences and humanities"</t>
  </si>
  <si>
    <t>"72.2.0"</t>
  </si>
  <si>
    <t>"72.20"</t>
  </si>
  <si>
    <t>"73"</t>
  </si>
  <si>
    <t>"Advertising and market research"</t>
  </si>
  <si>
    <t>"73.1"</t>
  </si>
  <si>
    <t>"Advertising"</t>
  </si>
  <si>
    <t>"73.1.1"</t>
  </si>
  <si>
    <t>"73.11"</t>
  </si>
  <si>
    <t>"Advertising agencies"</t>
  </si>
  <si>
    <t>"73.1.2"</t>
  </si>
  <si>
    <t>"73.12"</t>
  </si>
  <si>
    <t>"Media representation"</t>
  </si>
  <si>
    <t>"73.2"</t>
  </si>
  <si>
    <t>"Market research and public opinion polling"</t>
  </si>
  <si>
    <t>"73.2.0"</t>
  </si>
  <si>
    <t>"73.20"</t>
  </si>
  <si>
    <t>"74"</t>
  </si>
  <si>
    <t>"Other professional, scientific and technical activities"</t>
  </si>
  <si>
    <t>"74.1"</t>
  </si>
  <si>
    <t>"Specialised design activities"</t>
  </si>
  <si>
    <t>"74.1.0"</t>
  </si>
  <si>
    <t>"74.10"</t>
  </si>
  <si>
    <t>"74.2"</t>
  </si>
  <si>
    <t>"Photographic activities"</t>
  </si>
  <si>
    <t>"74.2.0"</t>
  </si>
  <si>
    <t>"74.20"</t>
  </si>
  <si>
    <t>"74.3"</t>
  </si>
  <si>
    <t>"Translation and interpretation activities"</t>
  </si>
  <si>
    <t>"74.3.0"</t>
  </si>
  <si>
    <t>"74.30"</t>
  </si>
  <si>
    <t>"74.9"</t>
  </si>
  <si>
    <t>"Other professional, scientific and technical activities n.e.c."</t>
  </si>
  <si>
    <t>"74.9.0"</t>
  </si>
  <si>
    <t>"74.90"</t>
  </si>
  <si>
    <t>"75"</t>
  </si>
  <si>
    <t>"Veterinary activities"</t>
  </si>
  <si>
    <t>"75.0"</t>
  </si>
  <si>
    <t>"75.0.0"</t>
  </si>
  <si>
    <t>"75.00"</t>
  </si>
  <si>
    <t>"N"</t>
  </si>
  <si>
    <t>"Administrative and support service activities"</t>
  </si>
  <si>
    <t>"77"</t>
  </si>
  <si>
    <t>"Rental and leasing activities"</t>
  </si>
  <si>
    <t>"77.1"</t>
  </si>
  <si>
    <t>"Renting and leasing of motor vehicles"</t>
  </si>
  <si>
    <t>"77.1.1"</t>
  </si>
  <si>
    <t>"77.11"</t>
  </si>
  <si>
    <t>"Renting and leasing of cars and light motor vehicles"</t>
  </si>
  <si>
    <t>"77.1.2"</t>
  </si>
  <si>
    <t>"77.12"</t>
  </si>
  <si>
    <t>"Renting and leasing of trucks"</t>
  </si>
  <si>
    <t>"77.2"</t>
  </si>
  <si>
    <t>"Renting and leasing of personal and household goods"</t>
  </si>
  <si>
    <t>"77.2.1"</t>
  </si>
  <si>
    <t>"77.21"</t>
  </si>
  <si>
    <t>"Renting and leasing of recreational and sports goods"</t>
  </si>
  <si>
    <t>"77.2.2"</t>
  </si>
  <si>
    <t>"77.22"</t>
  </si>
  <si>
    <t>"Renting of video tapes and disks"</t>
  </si>
  <si>
    <t>"77.2.9"</t>
  </si>
  <si>
    <t>"77.29"</t>
  </si>
  <si>
    <t>"Renting and leasing of other personal and household goods"</t>
  </si>
  <si>
    <t>"77.3"</t>
  </si>
  <si>
    <t>"Renting and leasing of other machinery, equipment and tangible goods"</t>
  </si>
  <si>
    <t>"77.3.1"</t>
  </si>
  <si>
    <t>"77.31"</t>
  </si>
  <si>
    <t>"Renting and leasing of agricultural machinery and equipment"</t>
  </si>
  <si>
    <t>"77.3.2"</t>
  </si>
  <si>
    <t>"77.32"</t>
  </si>
  <si>
    <t>"Renting and leasing of construction and civil engineering machinery and equipment"</t>
  </si>
  <si>
    <t>"77.3.3"</t>
  </si>
  <si>
    <t>"77.33"</t>
  </si>
  <si>
    <t>"Renting and leasing of office machinery and equipment (including computers)"</t>
  </si>
  <si>
    <t>"77.3.4"</t>
  </si>
  <si>
    <t>"77.34"</t>
  </si>
  <si>
    <t>"Renting and leasing of water transport equipment"</t>
  </si>
  <si>
    <t>"77.3.5"</t>
  </si>
  <si>
    <t>"77.35"</t>
  </si>
  <si>
    <t>"Renting and leasing of air transport equipment"</t>
  </si>
  <si>
    <t>"77.3.9"</t>
  </si>
  <si>
    <t>"77.39"</t>
  </si>
  <si>
    <t>"Renting and leasing of other machinery, equipment and tangible goods n.e.c."</t>
  </si>
  <si>
    <t>"77.4"</t>
  </si>
  <si>
    <t>"Leasing of intellectual property and similar products, except copyrighted works"</t>
  </si>
  <si>
    <t>"77.4.0"</t>
  </si>
  <si>
    <t>"77.40"</t>
  </si>
  <si>
    <t>"78"</t>
  </si>
  <si>
    <t>"Employment activities"</t>
  </si>
  <si>
    <t>"78.1"</t>
  </si>
  <si>
    <t>"Activities of employment placement agencies"</t>
  </si>
  <si>
    <t>"78.1.0"</t>
  </si>
  <si>
    <t>"78.10"</t>
  </si>
  <si>
    <t>"78.2"</t>
  </si>
  <si>
    <t>"Temporary employment agency activities"</t>
  </si>
  <si>
    <t>"78.2.0"</t>
  </si>
  <si>
    <t>"78.20"</t>
  </si>
  <si>
    <t>"78.3"</t>
  </si>
  <si>
    <t>"Other human resources provision"</t>
  </si>
  <si>
    <t>"78.3.0"</t>
  </si>
  <si>
    <t>"78.30"</t>
  </si>
  <si>
    <t>"79"</t>
  </si>
  <si>
    <t>"Travel agency, tour operator and other reservation service and related activities"</t>
  </si>
  <si>
    <t>"79.1"</t>
  </si>
  <si>
    <t>"Travel agency and tour operator activities"</t>
  </si>
  <si>
    <t>"79.1.1"</t>
  </si>
  <si>
    <t>"79.11"</t>
  </si>
  <si>
    <t>"Travel agency activities"</t>
  </si>
  <si>
    <t>"79.1.2"</t>
  </si>
  <si>
    <t>"79.12"</t>
  </si>
  <si>
    <t>"Tour operator activities"</t>
  </si>
  <si>
    <t>"79.9"</t>
  </si>
  <si>
    <t>"Other reservation service and related activities"</t>
  </si>
  <si>
    <t>"79.9.0"</t>
  </si>
  <si>
    <t>"79.90"</t>
  </si>
  <si>
    <t>"80"</t>
  </si>
  <si>
    <t>"Security and investigation activities"</t>
  </si>
  <si>
    <t>"80.1"</t>
  </si>
  <si>
    <t>"Private security activities"</t>
  </si>
  <si>
    <t>"80.1.0"</t>
  </si>
  <si>
    <t>"80.10"</t>
  </si>
  <si>
    <t>"80.2"</t>
  </si>
  <si>
    <t>"Security systems service activities"</t>
  </si>
  <si>
    <t>"80.2.0"</t>
  </si>
  <si>
    <t>"80.20"</t>
  </si>
  <si>
    <t>"80.3"</t>
  </si>
  <si>
    <t>"Investigation activities"</t>
  </si>
  <si>
    <t>"80.3.0"</t>
  </si>
  <si>
    <t>"80.30"</t>
  </si>
  <si>
    <t>"81"</t>
  </si>
  <si>
    <t>"Services to buildings and landscape activities"</t>
  </si>
  <si>
    <t>"81.1"</t>
  </si>
  <si>
    <t>"Combined facilities support activities"</t>
  </si>
  <si>
    <t>"81.1.0"</t>
  </si>
  <si>
    <t>"81.10"</t>
  </si>
  <si>
    <t>"81.2"</t>
  </si>
  <si>
    <t>"Cleaning activities"</t>
  </si>
  <si>
    <t>"81.2.1"</t>
  </si>
  <si>
    <t>"81.21"</t>
  </si>
  <si>
    <t>"General cleaning of buildings"</t>
  </si>
  <si>
    <t>"81.2.2"</t>
  </si>
  <si>
    <t>"81.22"</t>
  </si>
  <si>
    <t>"Other building and industrial cleaning activities"</t>
  </si>
  <si>
    <t>"81.2.9"</t>
  </si>
  <si>
    <t>"81.29"</t>
  </si>
  <si>
    <t>"Other cleaning activities"</t>
  </si>
  <si>
    <t>"81.3"</t>
  </si>
  <si>
    <t>"Landscape service activities"</t>
  </si>
  <si>
    <t>"81.3.0"</t>
  </si>
  <si>
    <t>"81.30"</t>
  </si>
  <si>
    <t>"82"</t>
  </si>
  <si>
    <t>"Office administrative, office support and other business support activities"</t>
  </si>
  <si>
    <t>"82.1"</t>
  </si>
  <si>
    <t>"Office administrative and support activities"</t>
  </si>
  <si>
    <t>"82.1.1"</t>
  </si>
  <si>
    <t>"82.11"</t>
  </si>
  <si>
    <t>"Combined office administrative service activities"</t>
  </si>
  <si>
    <t>"82.1.9"</t>
  </si>
  <si>
    <t>"82.19"</t>
  </si>
  <si>
    <t>"Photocopying, document preparation and other specialised office support activities"</t>
  </si>
  <si>
    <t>"82.2"</t>
  </si>
  <si>
    <t>"Activities of call centres"</t>
  </si>
  <si>
    <t>"82.2.0"</t>
  </si>
  <si>
    <t>"82.20"</t>
  </si>
  <si>
    <t>"82.3"</t>
  </si>
  <si>
    <t>"Organisation of conventions and trade shows"</t>
  </si>
  <si>
    <t>"82.3.0"</t>
  </si>
  <si>
    <t>"82.30"</t>
  </si>
  <si>
    <t>"82.9"</t>
  </si>
  <si>
    <t>"Business support service activities n.e.c."</t>
  </si>
  <si>
    <t>"82.9.1"</t>
  </si>
  <si>
    <t>"82.91"</t>
  </si>
  <si>
    <t>"Activities of collection agencies and credit bureaus"</t>
  </si>
  <si>
    <t>"82.9.2"</t>
  </si>
  <si>
    <t>"82.92"</t>
  </si>
  <si>
    <t>"Packaging activities"</t>
  </si>
  <si>
    <t>"82.9.9"</t>
  </si>
  <si>
    <t>"82.99"</t>
  </si>
  <si>
    <t>"Other business support service activities n.e.c."</t>
  </si>
  <si>
    <t>"O"</t>
  </si>
  <si>
    <t>"Public administration and defence; compulsory social security"</t>
  </si>
  <si>
    <t>"84"</t>
  </si>
  <si>
    <t>"84.1"</t>
  </si>
  <si>
    <t>"Administration of the State and the economic and social policy of the community"</t>
  </si>
  <si>
    <t>"84.1.1"</t>
  </si>
  <si>
    <t>"84.11"</t>
  </si>
  <si>
    <t>"General public administration activities"</t>
  </si>
  <si>
    <t>"84.1.2"</t>
  </si>
  <si>
    <t>"84.12"</t>
  </si>
  <si>
    <t>"Regulation of the activities of providing health care, education, cultural services and other social services, excluding social security"</t>
  </si>
  <si>
    <t>"84.1.3"</t>
  </si>
  <si>
    <t>"84.13"</t>
  </si>
  <si>
    <t>"Regulation of and contribution to more efficient operation of businesses"</t>
  </si>
  <si>
    <t>"84.2"</t>
  </si>
  <si>
    <t>"Provision of services to the community as a whole"</t>
  </si>
  <si>
    <t>"84.2.1"</t>
  </si>
  <si>
    <t>"84.21"</t>
  </si>
  <si>
    <t>"Foreign affairs"</t>
  </si>
  <si>
    <t>"84.2.2"</t>
  </si>
  <si>
    <t>"84.22"</t>
  </si>
  <si>
    <t>"Defence activities"</t>
  </si>
  <si>
    <t>"84.2.3"</t>
  </si>
  <si>
    <t>"84.23"</t>
  </si>
  <si>
    <t>"Justice and judicial activities"</t>
  </si>
  <si>
    <t>"84.2.4"</t>
  </si>
  <si>
    <t>"84.24"</t>
  </si>
  <si>
    <t>"Public order and safety activities"</t>
  </si>
  <si>
    <t>"84.2.5"</t>
  </si>
  <si>
    <t>"84.25"</t>
  </si>
  <si>
    <t>"Fire service activities"</t>
  </si>
  <si>
    <t>"84.3"</t>
  </si>
  <si>
    <t>"Compulsory social security activities"</t>
  </si>
  <si>
    <t>"84.3.0"</t>
  </si>
  <si>
    <t>"84.30"</t>
  </si>
  <si>
    <t>"P"</t>
  </si>
  <si>
    <t>"Education"</t>
  </si>
  <si>
    <t>"85"</t>
  </si>
  <si>
    <t>"85.1"</t>
  </si>
  <si>
    <t>"Pre-primary education"</t>
  </si>
  <si>
    <t>"85.1.0"</t>
  </si>
  <si>
    <t>"85.10"</t>
  </si>
  <si>
    <t>"85.2"</t>
  </si>
  <si>
    <t>"Primary education"</t>
  </si>
  <si>
    <t>"85.2.0"</t>
  </si>
  <si>
    <t>"85.20"</t>
  </si>
  <si>
    <t>"85.3"</t>
  </si>
  <si>
    <t>"Secondary education"</t>
  </si>
  <si>
    <t>"85.3.1"</t>
  </si>
  <si>
    <t>"85.31"</t>
  </si>
  <si>
    <t>"General secondary education"</t>
  </si>
  <si>
    <t>"85.3.2"</t>
  </si>
  <si>
    <t>"85.32"</t>
  </si>
  <si>
    <t>"Technical and vocational secondary education"</t>
  </si>
  <si>
    <t>"85.4"</t>
  </si>
  <si>
    <t>"Higher education"</t>
  </si>
  <si>
    <t>"85.4.1"</t>
  </si>
  <si>
    <t>"85.41"</t>
  </si>
  <si>
    <t>"Post-secondary non-tertiary education"</t>
  </si>
  <si>
    <t>"85.4.2"</t>
  </si>
  <si>
    <t>"85.42"</t>
  </si>
  <si>
    <t>"Tertiary education"</t>
  </si>
  <si>
    <t>"85.5"</t>
  </si>
  <si>
    <t>"Other education"</t>
  </si>
  <si>
    <t>"85.5.1"</t>
  </si>
  <si>
    <t>"85.51"</t>
  </si>
  <si>
    <t>"Sports and recreation education"</t>
  </si>
  <si>
    <t>"85.5.2"</t>
  </si>
  <si>
    <t>"85.52"</t>
  </si>
  <si>
    <t>"Cultural education"</t>
  </si>
  <si>
    <t>"85.5.3"</t>
  </si>
  <si>
    <t>"85.53"</t>
  </si>
  <si>
    <t>"Driving school activities"</t>
  </si>
  <si>
    <t>"85.5.9"</t>
  </si>
  <si>
    <t>"85.59"</t>
  </si>
  <si>
    <t>"Other education n.e.c."</t>
  </si>
  <si>
    <t>"85.6"</t>
  </si>
  <si>
    <t>"Educational support activities"</t>
  </si>
  <si>
    <t>"85.6.0"</t>
  </si>
  <si>
    <t>"85.60"</t>
  </si>
  <si>
    <t>"Q"</t>
  </si>
  <si>
    <t>"Human health and social work activities"</t>
  </si>
  <si>
    <t>"86"</t>
  </si>
  <si>
    <t>"Human health activities"</t>
  </si>
  <si>
    <t>"86.1"</t>
  </si>
  <si>
    <t>"Hospital activities"</t>
  </si>
  <si>
    <t>"86.1.0"</t>
  </si>
  <si>
    <t>"86.10"</t>
  </si>
  <si>
    <t>"86.2"</t>
  </si>
  <si>
    <t>"Medical and dental practice activities"</t>
  </si>
  <si>
    <t>"86.2.1"</t>
  </si>
  <si>
    <t>"86.21"</t>
  </si>
  <si>
    <t>"General medical practice activities"</t>
  </si>
  <si>
    <t>"86.2.2"</t>
  </si>
  <si>
    <t>"86.22"</t>
  </si>
  <si>
    <t>"Specialist medical practice activities"</t>
  </si>
  <si>
    <t>"86.2.3"</t>
  </si>
  <si>
    <t>"86.23"</t>
  </si>
  <si>
    <t>"Dental practice activities"</t>
  </si>
  <si>
    <t>"86.9"</t>
  </si>
  <si>
    <t>"Other human health activities"</t>
  </si>
  <si>
    <t>"86.9.0"</t>
  </si>
  <si>
    <t>"86.90"</t>
  </si>
  <si>
    <t>"87"</t>
  </si>
  <si>
    <t>"Residential care activities"</t>
  </si>
  <si>
    <t>"87.1"</t>
  </si>
  <si>
    <t>"Residential nursing care activities"</t>
  </si>
  <si>
    <t>"87.1.0"</t>
  </si>
  <si>
    <t>"87.10"</t>
  </si>
  <si>
    <t>"87.2"</t>
  </si>
  <si>
    <t>"Residential care activities for mental retardation, mental health and substance abuse"</t>
  </si>
  <si>
    <t>"87.2.0"</t>
  </si>
  <si>
    <t>"87.20"</t>
  </si>
  <si>
    <t>"87.3"</t>
  </si>
  <si>
    <t>"Residential care activities for the elderly and disabled"</t>
  </si>
  <si>
    <t>"87.3.0"</t>
  </si>
  <si>
    <t>"87.30"</t>
  </si>
  <si>
    <t>"87.9"</t>
  </si>
  <si>
    <t>"Other residential care activities"</t>
  </si>
  <si>
    <t>"87.9.0"</t>
  </si>
  <si>
    <t>"87.90"</t>
  </si>
  <si>
    <t>"88"</t>
  </si>
  <si>
    <t>"Social work activities without accommodation"</t>
  </si>
  <si>
    <t>"88.1"</t>
  </si>
  <si>
    <t>"Social work activities without accommodation for the elderly and disabled"</t>
  </si>
  <si>
    <t>"88.1.0"</t>
  </si>
  <si>
    <t>"88.10"</t>
  </si>
  <si>
    <t>"88.9"</t>
  </si>
  <si>
    <t>"Other social work activities without accommodation"</t>
  </si>
  <si>
    <t>"88.9.1"</t>
  </si>
  <si>
    <t>"88.91"</t>
  </si>
  <si>
    <t>"Child day-care activities"</t>
  </si>
  <si>
    <t>"88.9.9"</t>
  </si>
  <si>
    <t>"88.99"</t>
  </si>
  <si>
    <t>"Other social work activities without accommodation n.e.c."</t>
  </si>
  <si>
    <t>"R"</t>
  </si>
  <si>
    <t>"Arts, entertainment and recreation"</t>
  </si>
  <si>
    <t>"90"</t>
  </si>
  <si>
    <t>"Creative, arts and entertainment activities"</t>
  </si>
  <si>
    <t>"90.0"</t>
  </si>
  <si>
    <t>"90.0.1"</t>
  </si>
  <si>
    <t>"90.01"</t>
  </si>
  <si>
    <t>"Performing arts"</t>
  </si>
  <si>
    <t>"90.0.2"</t>
  </si>
  <si>
    <t>"90.02"</t>
  </si>
  <si>
    <t>"Support activities to performing arts"</t>
  </si>
  <si>
    <t>"90.0.3"</t>
  </si>
  <si>
    <t>"90.03"</t>
  </si>
  <si>
    <t>"Artistic creation"</t>
  </si>
  <si>
    <t>"90.0.4"</t>
  </si>
  <si>
    <t>"90.04"</t>
  </si>
  <si>
    <t>"Operation of arts facilities"</t>
  </si>
  <si>
    <t>"91"</t>
  </si>
  <si>
    <t>"Libraries, archives, museums and other cultural activities"</t>
  </si>
  <si>
    <t>"91.0"</t>
  </si>
  <si>
    <t>"91.0.1"</t>
  </si>
  <si>
    <t>"91.01"</t>
  </si>
  <si>
    <t>"Library and archives activities"</t>
  </si>
  <si>
    <t>"91.0.2"</t>
  </si>
  <si>
    <t>"91.02"</t>
  </si>
  <si>
    <t>"Museums activities"</t>
  </si>
  <si>
    <t>"91.0.3"</t>
  </si>
  <si>
    <t>"91.03"</t>
  </si>
  <si>
    <t>"Operation of historical sites and buildings and similar visitor attractions"</t>
  </si>
  <si>
    <t>"91.0.4"</t>
  </si>
  <si>
    <t>"91.04"</t>
  </si>
  <si>
    <t>"Botanical and zoological gardens and nature reserves activities"</t>
  </si>
  <si>
    <t>"92"</t>
  </si>
  <si>
    <t>"Gambling and betting activities"</t>
  </si>
  <si>
    <t>"92.0"</t>
  </si>
  <si>
    <t>"92.0.0"</t>
  </si>
  <si>
    <t>"92.00"</t>
  </si>
  <si>
    <t>"93"</t>
  </si>
  <si>
    <t>"Sports activities and amusement and recreation activities"</t>
  </si>
  <si>
    <t>"93.1"</t>
  </si>
  <si>
    <t>"Sports activities"</t>
  </si>
  <si>
    <t>"93.1.1"</t>
  </si>
  <si>
    <t>"93.11"</t>
  </si>
  <si>
    <t>"Operation of sports facilities"</t>
  </si>
  <si>
    <t>"93.1.2"</t>
  </si>
  <si>
    <t>"93.12"</t>
  </si>
  <si>
    <t>"Activities of sport clubs"</t>
  </si>
  <si>
    <t>"93.1.3"</t>
  </si>
  <si>
    <t>"93.13"</t>
  </si>
  <si>
    <t>"Fitness facilities"</t>
  </si>
  <si>
    <t>"93.1.9"</t>
  </si>
  <si>
    <t>"93.19"</t>
  </si>
  <si>
    <t>"Other sports activities"</t>
  </si>
  <si>
    <t>"93.2"</t>
  </si>
  <si>
    <t>"Amusement and recreation activities"</t>
  </si>
  <si>
    <t>"93.2.1"</t>
  </si>
  <si>
    <t>"93.21"</t>
  </si>
  <si>
    <t>"Activities of amusement parks and theme parks"</t>
  </si>
  <si>
    <t>"93.2.9"</t>
  </si>
  <si>
    <t>"93.29"</t>
  </si>
  <si>
    <t>"Other amusement and recreation activities"</t>
  </si>
  <si>
    <t>"S"</t>
  </si>
  <si>
    <t>"Other services activities"</t>
  </si>
  <si>
    <t>"94"</t>
  </si>
  <si>
    <t>"Activities of membership organisations"</t>
  </si>
  <si>
    <t>"94.1"</t>
  </si>
  <si>
    <t>"Activities of business, employers and professional membership organisations"</t>
  </si>
  <si>
    <t>"94.1.1"</t>
  </si>
  <si>
    <t>"94.11"</t>
  </si>
  <si>
    <t>"Activities of business and employers membership organisations"</t>
  </si>
  <si>
    <t>"94.1.2"</t>
  </si>
  <si>
    <t>"94.12"</t>
  </si>
  <si>
    <t>"Activities of professional membership organisations"</t>
  </si>
  <si>
    <t>"94.2"</t>
  </si>
  <si>
    <t>"Activities of trade unions"</t>
  </si>
  <si>
    <t>"94.2.0"</t>
  </si>
  <si>
    <t>"94.20"</t>
  </si>
  <si>
    <t>"94.9"</t>
  </si>
  <si>
    <t>"Activities of other membership organisations"</t>
  </si>
  <si>
    <t>"94.9.1"</t>
  </si>
  <si>
    <t>"94.91"</t>
  </si>
  <si>
    <t>"Activities of religious organisations"</t>
  </si>
  <si>
    <t>"94.9.2"</t>
  </si>
  <si>
    <t>"94.92"</t>
  </si>
  <si>
    <t>"Activities of political organisations"</t>
  </si>
  <si>
    <t>"94.9.9"</t>
  </si>
  <si>
    <t>"94.99"</t>
  </si>
  <si>
    <t>"Activities of other membership organisations n.e.c."</t>
  </si>
  <si>
    <t>"95"</t>
  </si>
  <si>
    <t>"Repair of computers and personal and household goods"</t>
  </si>
  <si>
    <t>"95.1"</t>
  </si>
  <si>
    <t>"Repair of computers and communication equipment"</t>
  </si>
  <si>
    <t>"95.1.1"</t>
  </si>
  <si>
    <t>"95.11"</t>
  </si>
  <si>
    <t>"Repair of computers and peripheral equipment"</t>
  </si>
  <si>
    <t>"95.1.2"</t>
  </si>
  <si>
    <t>"95.12"</t>
  </si>
  <si>
    <t>"Repair of communication equipment"</t>
  </si>
  <si>
    <t>"95.2"</t>
  </si>
  <si>
    <t>"Repair of personal and household goods"</t>
  </si>
  <si>
    <t>"95.2.1"</t>
  </si>
  <si>
    <t>"95.21"</t>
  </si>
  <si>
    <t>"Repair of consumer electronics"</t>
  </si>
  <si>
    <t>"95.2.2"</t>
  </si>
  <si>
    <t>"95.22"</t>
  </si>
  <si>
    <t>"Repair of household appliances and home and garden equipment"</t>
  </si>
  <si>
    <t>"95.2.3"</t>
  </si>
  <si>
    <t>"95.23"</t>
  </si>
  <si>
    <t>"Repair of footwear and leather goods"</t>
  </si>
  <si>
    <t>"95.2.4"</t>
  </si>
  <si>
    <t>"95.24"</t>
  </si>
  <si>
    <t>"Repair of furniture and home furnishings"</t>
  </si>
  <si>
    <t>"95.2.5"</t>
  </si>
  <si>
    <t>"95.25"</t>
  </si>
  <si>
    <t>"Repair of watches, clocks and jewellery"</t>
  </si>
  <si>
    <t>"95.2.9"</t>
  </si>
  <si>
    <t>"95.29"</t>
  </si>
  <si>
    <t>"Repair of other personal and household goods"</t>
  </si>
  <si>
    <t>"96"</t>
  </si>
  <si>
    <t>"Other personal service activities"</t>
  </si>
  <si>
    <t>"96.0"</t>
  </si>
  <si>
    <t>"96.0.1"</t>
  </si>
  <si>
    <t>"96.01"</t>
  </si>
  <si>
    <t>"Washing and (dry-)cleaning of textile and fur products"</t>
  </si>
  <si>
    <t>"96.0.2"</t>
  </si>
  <si>
    <t>"96.02"</t>
  </si>
  <si>
    <t>"Hairdressing and other beauty treatment"</t>
  </si>
  <si>
    <t>"96.0.3"</t>
  </si>
  <si>
    <t>"96.03"</t>
  </si>
  <si>
    <t>"Funeral and related activities"</t>
  </si>
  <si>
    <t>"96.0.4"</t>
  </si>
  <si>
    <t>"96.04"</t>
  </si>
  <si>
    <t>"Physical well-being activities"</t>
  </si>
  <si>
    <t>"96.0.9"</t>
  </si>
  <si>
    <t>"96.09"</t>
  </si>
  <si>
    <t>"Other personal service activities n.e.c."</t>
  </si>
  <si>
    <t>"T"</t>
  </si>
  <si>
    <t>"Activities of households as employers; undifferentiated goods - and services - producing activities of households for own use"</t>
  </si>
  <si>
    <t>"97"</t>
  </si>
  <si>
    <t>"Activities of households as employers of domestic personnel"</t>
  </si>
  <si>
    <t>"97.0"</t>
  </si>
  <si>
    <t>"97.0.0"</t>
  </si>
  <si>
    <t>"97.00"</t>
  </si>
  <si>
    <t>"98"</t>
  </si>
  <si>
    <t>"Undifferentiated goods- and services-producing activities of private households for own use"</t>
  </si>
  <si>
    <t>"98.1"</t>
  </si>
  <si>
    <t>"Undifferentiated goods-producing activities of private households for own use"</t>
  </si>
  <si>
    <t>"98.1.0"</t>
  </si>
  <si>
    <t>"98.10"</t>
  </si>
  <si>
    <t>"98.2"</t>
  </si>
  <si>
    <t>"Undifferentiated service-producing activities of private households for own use"</t>
  </si>
  <si>
    <t>"98.2.0"</t>
  </si>
  <si>
    <t>"98.20"</t>
  </si>
  <si>
    <t>"U"</t>
  </si>
  <si>
    <t>"Activities of extraterritorial organisations and bodies"</t>
  </si>
  <si>
    <t>"99"</t>
  </si>
  <si>
    <t>"99.0"</t>
  </si>
  <si>
    <t>"99.0.0"</t>
  </si>
  <si>
    <t>"99.00"</t>
  </si>
  <si>
    <t>"Activities of extraterritorial organisations and bodies "</t>
  </si>
  <si>
    <t>"Firma nicht mehr aktiv"</t>
  </si>
  <si>
    <t>"Firma hat Nachfolger"</t>
  </si>
  <si>
    <t>"Firma konnte nicht recherchiert werden"</t>
  </si>
  <si>
    <t>"Firma konnte in der vorgegebenen Zeit nicht geprüft werden"</t>
  </si>
  <si>
    <t>"a.m.b.a."</t>
  </si>
  <si>
    <t>"a.s."</t>
  </si>
  <si>
    <t>"A/S"</t>
  </si>
  <si>
    <t>"AB &amp; Co. KG"</t>
  </si>
  <si>
    <t>"AB"</t>
  </si>
  <si>
    <t>"abj"</t>
  </si>
  <si>
    <t>"AG &amp; Co. KG"</t>
  </si>
  <si>
    <t>"AG &amp; Co. KGaA"</t>
  </si>
  <si>
    <t>"AG &amp; Co. OHG"</t>
  </si>
  <si>
    <t>"AG"</t>
  </si>
  <si>
    <t>"ANS"</t>
  </si>
  <si>
    <t>"AöR &amp; Co. KG"</t>
  </si>
  <si>
    <t>"AöR &amp; Co. OHG"</t>
  </si>
  <si>
    <t>"AöR"</t>
  </si>
  <si>
    <t>"ApS &amp; Co. KG"</t>
  </si>
  <si>
    <t>"ApS &amp; Co. OHG"</t>
  </si>
  <si>
    <t>"ApS"</t>
  </si>
  <si>
    <t>"AS"</t>
  </si>
  <si>
    <t>"ASA"</t>
  </si>
  <si>
    <t>"ASBL"</t>
  </si>
  <si>
    <t>"ASSAGR"</t>
  </si>
  <si>
    <t>"ASSEP"</t>
  </si>
  <si>
    <t>"ASSMUT"</t>
  </si>
  <si>
    <t>"ausländische Rechtsform"</t>
  </si>
  <si>
    <t>"ay"</t>
  </si>
  <si>
    <t>"Bergrechtliche Gewerkschaft"</t>
  </si>
  <si>
    <t>"BV &amp; Co. KG"</t>
  </si>
  <si>
    <t>"BV &amp; Co. KGaA"</t>
  </si>
  <si>
    <t>"BV &amp; Co. OHG"</t>
  </si>
  <si>
    <t>"BV"</t>
  </si>
  <si>
    <t>"Charitable Incorporated Organisation"</t>
  </si>
  <si>
    <t>"Commercant personne physique"</t>
  </si>
  <si>
    <t>"COOP"</t>
  </si>
  <si>
    <t>"Coöperatie"</t>
  </si>
  <si>
    <t>"CV"</t>
  </si>
  <si>
    <t>"d.o.o. &amp; Co. KG"</t>
  </si>
  <si>
    <t>"d.o.o."</t>
  </si>
  <si>
    <t>"DA"</t>
  </si>
  <si>
    <t>"e.K."</t>
  </si>
  <si>
    <t>"e.V. &amp; Co. KG"</t>
  </si>
  <si>
    <t>"e.V."</t>
  </si>
  <si>
    <t>"Eenmanszaak"</t>
  </si>
  <si>
    <t>"EESV"</t>
  </si>
  <si>
    <t>"eG &amp; Co. KG"</t>
  </si>
  <si>
    <t>"eG &amp; Co. OHG"</t>
  </si>
  <si>
    <t>"eG mbH"</t>
  </si>
  <si>
    <t>"eG"</t>
  </si>
  <si>
    <t>"eGbR &amp; Co. KG"</t>
  </si>
  <si>
    <t>"eGbR"</t>
  </si>
  <si>
    <t>"Eigenbetrieb"</t>
  </si>
  <si>
    <t>"EK. för"</t>
  </si>
  <si>
    <t>"Entreprise individuelle"</t>
  </si>
  <si>
    <t>"ETAPUB"</t>
  </si>
  <si>
    <t>"EWIV"</t>
  </si>
  <si>
    <t>"f.m.b.a."</t>
  </si>
  <si>
    <t>"FCP"</t>
  </si>
  <si>
    <t>"FIAR"</t>
  </si>
  <si>
    <t>"FONDAT"</t>
  </si>
  <si>
    <t>"FONPAT"</t>
  </si>
  <si>
    <t>"Freier Beruf"</t>
  </si>
  <si>
    <t>"gAG &amp; Co. KG"</t>
  </si>
  <si>
    <t>"gAG"</t>
  </si>
  <si>
    <t>"GbR &amp; Co. KG"</t>
  </si>
  <si>
    <t>"GbR"</t>
  </si>
  <si>
    <t>"geG"</t>
  </si>
  <si>
    <t>"GEIE"</t>
  </si>
  <si>
    <t>"geV"</t>
  </si>
  <si>
    <t>"Gewerbebetrieb"</t>
  </si>
  <si>
    <t>"Gewerkschaft"</t>
  </si>
  <si>
    <t>"gGmbH &amp; Co. KG"</t>
  </si>
  <si>
    <t>"gGmbH"</t>
  </si>
  <si>
    <t>"GIE"</t>
  </si>
  <si>
    <t>"GmbH &amp; Co. eGbR"</t>
  </si>
  <si>
    <t>"GmbH &amp; Co. KG (ausl. Komplementärin)"</t>
  </si>
  <si>
    <t>"GmbH &amp; Co. KG i.L."</t>
  </si>
  <si>
    <t>"GmbH &amp; Co. KG"</t>
  </si>
  <si>
    <t>"GmbH &amp; Co. KGaA"</t>
  </si>
  <si>
    <t>"GmbH &amp; Co. OHG"</t>
  </si>
  <si>
    <t>"GmbH i.G."</t>
  </si>
  <si>
    <t>"GmbH"</t>
  </si>
  <si>
    <t>"gUG (haftungsbeschränkt)"</t>
  </si>
  <si>
    <t>"HB"</t>
  </si>
  <si>
    <t>"HRA Juristische Person"</t>
  </si>
  <si>
    <t>"I/S"</t>
  </si>
  <si>
    <t>"Inc &amp; Co. KG"</t>
  </si>
  <si>
    <t>"Inc &amp; Co. KGaA"</t>
  </si>
  <si>
    <t>"Inc &amp; Co. OHG"</t>
  </si>
  <si>
    <t>"Inc"</t>
  </si>
  <si>
    <t>"k.s."</t>
  </si>
  <si>
    <t>"K/S"</t>
  </si>
  <si>
    <t>"KB"</t>
  </si>
  <si>
    <t>"KBE"</t>
  </si>
  <si>
    <t>"Kerkgenootschap"</t>
  </si>
  <si>
    <t>"KG aA &amp; Co. KG"</t>
  </si>
  <si>
    <t>"KG"</t>
  </si>
  <si>
    <t>"KGaA"</t>
  </si>
  <si>
    <t>"KöR"</t>
  </si>
  <si>
    <t>"KS"</t>
  </si>
  <si>
    <t>"ky"</t>
  </si>
  <si>
    <t>"LLC &amp; Co. KG"</t>
  </si>
  <si>
    <t>"LLC &amp; Co. OHG"</t>
  </si>
  <si>
    <t>"LLC"</t>
  </si>
  <si>
    <t>"LLP"</t>
  </si>
  <si>
    <t>"LP"</t>
  </si>
  <si>
    <t>"Ltd &amp; Co. KG"</t>
  </si>
  <si>
    <t>"Ltd &amp; Co. KGaA"</t>
  </si>
  <si>
    <t>"Ltd &amp; Co. OHG"</t>
  </si>
  <si>
    <t>"Ltd"</t>
  </si>
  <si>
    <t>"Maatschap"</t>
  </si>
  <si>
    <t>"NV &amp; Co. KG"</t>
  </si>
  <si>
    <t>"NV"</t>
  </si>
  <si>
    <t>"o.p.s."</t>
  </si>
  <si>
    <t>"OBROV"</t>
  </si>
  <si>
    <t>"OHG &amp; Co. KG"</t>
  </si>
  <si>
    <t>"OHG"</t>
  </si>
  <si>
    <t>"OPR"</t>
  </si>
  <si>
    <t>"osk"</t>
  </si>
  <si>
    <t>"OWM"</t>
  </si>
  <si>
    <t>"oy"</t>
  </si>
  <si>
    <t>"oyj"</t>
  </si>
  <si>
    <t>"Partenreederei"</t>
  </si>
  <si>
    <t>"PartG mbB"</t>
  </si>
  <si>
    <t>"PartG"</t>
  </si>
  <si>
    <t>"plc &amp; Co. KG aA"</t>
  </si>
  <si>
    <t>"plc &amp; Co. KG"</t>
  </si>
  <si>
    <t>"plc"</t>
  </si>
  <si>
    <t>"PR1"</t>
  </si>
  <si>
    <t>"PR2"</t>
  </si>
  <si>
    <t>"PRI/LBG/NSC"</t>
  </si>
  <si>
    <t>"PRI/LTD BY GUAR/NSC"</t>
  </si>
  <si>
    <t>"Private Unlimited"</t>
  </si>
  <si>
    <t>"Protected Cell Company"</t>
  </si>
  <si>
    <t>"Rechtsform ausländischen Rechts GnR"</t>
  </si>
  <si>
    <t>"Rechtsform ausländischen Rechts HRA"</t>
  </si>
  <si>
    <t>"Rechtsform ausländischen Rechts HRB"</t>
  </si>
  <si>
    <t>"Rechtsform ausländischen Rechts PR"</t>
  </si>
  <si>
    <t>"Registered Society"</t>
  </si>
  <si>
    <t>"Royal Charter Company"</t>
  </si>
  <si>
    <t>"S.A."</t>
  </si>
  <si>
    <t>"s.c."</t>
  </si>
  <si>
    <t>"s.j."</t>
  </si>
  <si>
    <t>"S.K.A."</t>
  </si>
  <si>
    <t>"s.m.b.a."</t>
  </si>
  <si>
    <t>"S.r.l. &amp; Co. KG"</t>
  </si>
  <si>
    <t>"S.r.l. &amp; Co. OHG"</t>
  </si>
  <si>
    <t>"S.r.l."</t>
  </si>
  <si>
    <t>"s.r.o. &amp; Co. KG"</t>
  </si>
  <si>
    <t>"s.r.o."</t>
  </si>
  <si>
    <t>"SA &amp; Co. KG"</t>
  </si>
  <si>
    <t>"SA"</t>
  </si>
  <si>
    <t>"SARL &amp; Co. KG"</t>
  </si>
  <si>
    <t>"SARL &amp; Co. KGaA"</t>
  </si>
  <si>
    <t>"SARL &amp; Co. OHG"</t>
  </si>
  <si>
    <t>"SARL"</t>
  </si>
  <si>
    <t>"SARLS"</t>
  </si>
  <si>
    <t>"SAS"</t>
  </si>
  <si>
    <t>"SCE mbH"</t>
  </si>
  <si>
    <t>"SCE"</t>
  </si>
  <si>
    <t>"Scottish Charitable Incorporated Organisation"</t>
  </si>
  <si>
    <t>"Scottish Partnership"</t>
  </si>
  <si>
    <t>"SCPI"</t>
  </si>
  <si>
    <t>"SE &amp; Co. KG"</t>
  </si>
  <si>
    <t>"SE &amp; Co. KGaA"</t>
  </si>
  <si>
    <t>"SE &amp; Co. OHG"</t>
  </si>
  <si>
    <t>"SECA"</t>
  </si>
  <si>
    <t>"SECS"</t>
  </si>
  <si>
    <t>"SECSP"</t>
  </si>
  <si>
    <t>"Seerechtliche Gesellschaft"</t>
  </si>
  <si>
    <t>"SENC"</t>
  </si>
  <si>
    <t>"SEPCAV"</t>
  </si>
  <si>
    <t>"SICAF"</t>
  </si>
  <si>
    <t>"SICAR"</t>
  </si>
  <si>
    <t>"SICAV"</t>
  </si>
  <si>
    <t>"SLP"</t>
  </si>
  <si>
    <t>"SOCCIV"</t>
  </si>
  <si>
    <t>"sonstige Rechtsform"</t>
  </si>
  <si>
    <t>"SP"</t>
  </si>
  <si>
    <t>"sp. z o. o. "</t>
  </si>
  <si>
    <t>"sp. z o. o. &amp; Co. KG"</t>
  </si>
  <si>
    <t>"sp. z o. o. &amp; Co. oHG"</t>
  </si>
  <si>
    <t>"sp.k."</t>
  </si>
  <si>
    <t>"sp.p."</t>
  </si>
  <si>
    <t>"Stichting"</t>
  </si>
  <si>
    <t>"Stiftung &amp; Co. KG"</t>
  </si>
  <si>
    <t>"Stiftung &amp; Co. KGaA"</t>
  </si>
  <si>
    <t>"Stiftung öffentlichen Rechts"</t>
  </si>
  <si>
    <t>"Stiftung privaten Rechts"</t>
  </si>
  <si>
    <t>"Stiftung"</t>
  </si>
  <si>
    <t>"Treuhandstiftung"</t>
  </si>
  <si>
    <t>"UG (haftungsbeschränkt) &amp; Co. eGbR"</t>
  </si>
  <si>
    <t>"UG (haftungsbeschränkt) &amp; Co. KG"</t>
  </si>
  <si>
    <t>"UG (haftungsbeschränkt) &amp; Co. KGaA"</t>
  </si>
  <si>
    <t>"UG (haftungsbeschränkt) &amp; Co. OHG"</t>
  </si>
  <si>
    <t>"UG (haftungsbeschränkt) i.G."</t>
  </si>
  <si>
    <t>"UG (haftungsbeschränkt)"</t>
  </si>
  <si>
    <t>"v.o.s."</t>
  </si>
  <si>
    <t>"Verein (nicht eingetragen)"</t>
  </si>
  <si>
    <t>"Verein"</t>
  </si>
  <si>
    <t>"Vereniging"</t>
  </si>
  <si>
    <t>"VOF"</t>
  </si>
  <si>
    <t>"VVaG"</t>
  </si>
  <si>
    <t>"VVE"</t>
  </si>
  <si>
    <t>"Zweigniederlassung einer Gesellschaft ausländischen Rechts"</t>
  </si>
  <si>
    <t>"HRA"</t>
  </si>
  <si>
    <t>Handelsregister</t>
  </si>
  <si>
    <t>"HRB"</t>
  </si>
  <si>
    <t>"GnR"</t>
  </si>
  <si>
    <t>Genossenschaftsregister</t>
  </si>
  <si>
    <t>"PR"</t>
  </si>
  <si>
    <t>Partnerschaftsregister</t>
  </si>
  <si>
    <t>"VR"</t>
  </si>
  <si>
    <t>Vereinsregister</t>
  </si>
  <si>
    <t>"GsR"</t>
  </si>
  <si>
    <t>Gesellschaftsregister</t>
  </si>
  <si>
    <t>"Aachen"</t>
  </si>
  <si>
    <t>"Aalen"</t>
  </si>
  <si>
    <t>"Achern"</t>
  </si>
  <si>
    <t>"Adelsheim"</t>
  </si>
  <si>
    <t>"Albstadt"</t>
  </si>
  <si>
    <t>"Altenburg"</t>
  </si>
  <si>
    <t>"Alzey"</t>
  </si>
  <si>
    <t>"Amberg"</t>
  </si>
  <si>
    <t>"Anklam"</t>
  </si>
  <si>
    <t>"Annaberg"</t>
  </si>
  <si>
    <t>"Ansbach"</t>
  </si>
  <si>
    <t>"Apolda"</t>
  </si>
  <si>
    <t>"Arnsberg"</t>
  </si>
  <si>
    <t>"Arnstadt"</t>
  </si>
  <si>
    <t>"Arnstadt Zweigstelle Ilmenau"</t>
  </si>
  <si>
    <t>"Aschaffenburg"</t>
  </si>
  <si>
    <t>"Aue"</t>
  </si>
  <si>
    <t>"Auerbach"</t>
  </si>
  <si>
    <t>"Augsburg"</t>
  </si>
  <si>
    <t>"Aurich"</t>
  </si>
  <si>
    <t>"Backnang"</t>
  </si>
  <si>
    <t>"Bad Doberan"</t>
  </si>
  <si>
    <t>"Bad Hersfeld"</t>
  </si>
  <si>
    <t>"Bad Homburg v.d.H."</t>
  </si>
  <si>
    <t>"Bad Kreuznach"</t>
  </si>
  <si>
    <t>"Bad Mergentheim"</t>
  </si>
  <si>
    <t>"Bad Neuenahr-Ahrweiler"</t>
  </si>
  <si>
    <t>"Bad Oeynhausen"</t>
  </si>
  <si>
    <t>"Bad Säckingen"</t>
  </si>
  <si>
    <t>"Bad Salzungen"</t>
  </si>
  <si>
    <t>"Bad Saulgau"</t>
  </si>
  <si>
    <t>"Bad Urach"</t>
  </si>
  <si>
    <t>"Bad Waldsee"</t>
  </si>
  <si>
    <t>"Baden-Baden"</t>
  </si>
  <si>
    <t>"Balingen"</t>
  </si>
  <si>
    <t>"Bamberg"</t>
  </si>
  <si>
    <t>"Bautzen"</t>
  </si>
  <si>
    <t>"Bayreuth"</t>
  </si>
  <si>
    <t>"Bergen auf Rügen"</t>
  </si>
  <si>
    <t>"Berlin (Charlottenburg)"</t>
  </si>
  <si>
    <t>"Bersenbrück"</t>
  </si>
  <si>
    <t>"Besigheim"</t>
  </si>
  <si>
    <t>"Betzdorf"</t>
  </si>
  <si>
    <t>"Biberach"</t>
  </si>
  <si>
    <t>"Bielefeld"</t>
  </si>
  <si>
    <t>"Bingen am Rhein"</t>
  </si>
  <si>
    <t>"Bitburg"</t>
  </si>
  <si>
    <t>"Böblingen"</t>
  </si>
  <si>
    <t>"Bochum"</t>
  </si>
  <si>
    <t>"Bonn"</t>
  </si>
  <si>
    <t>"Borna"</t>
  </si>
  <si>
    <t>"Brackenheim"</t>
  </si>
  <si>
    <t>"Braunschweig"</t>
  </si>
  <si>
    <t>"Breisach"</t>
  </si>
  <si>
    <t>"Bremen"</t>
  </si>
  <si>
    <t>"Bremerhaven"</t>
  </si>
  <si>
    <t>"Bretten"</t>
  </si>
  <si>
    <t>"Bruchsal"</t>
  </si>
  <si>
    <t>"Buchen"</t>
  </si>
  <si>
    <t>"Bückeburg"</t>
  </si>
  <si>
    <t>"Bühl"</t>
  </si>
  <si>
    <t>"Calw"</t>
  </si>
  <si>
    <t>"Celle"</t>
  </si>
  <si>
    <t>"Chemnitz"</t>
  </si>
  <si>
    <t>"Cloppenburg"</t>
  </si>
  <si>
    <t>"Coburg"</t>
  </si>
  <si>
    <t>"Cochem"</t>
  </si>
  <si>
    <t>"Coesfeld"</t>
  </si>
  <si>
    <t>"Cottbus"</t>
  </si>
  <si>
    <t>"Crailsheim"</t>
  </si>
  <si>
    <t>"Cuxhaven"</t>
  </si>
  <si>
    <t>"Darmstadt"</t>
  </si>
  <si>
    <t>"Deggendorf"</t>
  </si>
  <si>
    <t>"Delbrück"</t>
  </si>
  <si>
    <t>"Delmenhorst"</t>
  </si>
  <si>
    <t>"Demmin"</t>
  </si>
  <si>
    <t>"Dessau"</t>
  </si>
  <si>
    <t>"Detmold"</t>
  </si>
  <si>
    <t>"Dippoldiswalde"</t>
  </si>
  <si>
    <t>"Döbeln"</t>
  </si>
  <si>
    <t>"Donaueschingen"</t>
  </si>
  <si>
    <t>"Dortmund"</t>
  </si>
  <si>
    <t>"Dresden"</t>
  </si>
  <si>
    <t>"Duisburg"</t>
  </si>
  <si>
    <t>"Düren"</t>
  </si>
  <si>
    <t>"Düsseldorf"</t>
  </si>
  <si>
    <t>"Ehingen"</t>
  </si>
  <si>
    <t>"Eilenburg"</t>
  </si>
  <si>
    <t>"Eisenach"</t>
  </si>
  <si>
    <t>"Ellwangen"</t>
  </si>
  <si>
    <t>"Emmendingen"</t>
  </si>
  <si>
    <t>"Erfurt"</t>
  </si>
  <si>
    <t>"Eschwege"</t>
  </si>
  <si>
    <t>"Essen"</t>
  </si>
  <si>
    <t>"Esslingen"</t>
  </si>
  <si>
    <t>"Ettenheim"</t>
  </si>
  <si>
    <t>"Ettlingen"</t>
  </si>
  <si>
    <t>"Eutin"</t>
  </si>
  <si>
    <t>"Flensburg"</t>
  </si>
  <si>
    <t>"Frankfurt am Main"</t>
  </si>
  <si>
    <t>"Frankfurt/Oder"</t>
  </si>
  <si>
    <t>"Freiberg"</t>
  </si>
  <si>
    <t>"Freiburg"</t>
  </si>
  <si>
    <t>"Freudenstadt"</t>
  </si>
  <si>
    <t>"Friedberg"</t>
  </si>
  <si>
    <t>"Fritzlar"</t>
  </si>
  <si>
    <t>"Fulda"</t>
  </si>
  <si>
    <t>"Fürth"</t>
  </si>
  <si>
    <t>"Geislingen"</t>
  </si>
  <si>
    <t>"Gelsenkirchen"</t>
  </si>
  <si>
    <t>"Gengenbach"</t>
  </si>
  <si>
    <t>"Gera"</t>
  </si>
  <si>
    <t>"Gernsbach"</t>
  </si>
  <si>
    <t>"Gießen"</t>
  </si>
  <si>
    <t>"Gifhorn"</t>
  </si>
  <si>
    <t>"Göppingen"</t>
  </si>
  <si>
    <t>"Görlitz"</t>
  </si>
  <si>
    <t>"Goslar"</t>
  </si>
  <si>
    <t>"Gotha"</t>
  </si>
  <si>
    <t>"Göttingen"</t>
  </si>
  <si>
    <t>"Greifswald"</t>
  </si>
  <si>
    <t>"Greiz"</t>
  </si>
  <si>
    <t>"Grevesmühlen"</t>
  </si>
  <si>
    <t>"Grimma"</t>
  </si>
  <si>
    <t>"Güstrow"</t>
  </si>
  <si>
    <t>"Gütersloh"</t>
  </si>
  <si>
    <t>"Hagen"</t>
  </si>
  <si>
    <t>"Hagenow"</t>
  </si>
  <si>
    <t>"Hainichen"</t>
  </si>
  <si>
    <t>"Halle (Saale)"</t>
  </si>
  <si>
    <t>"Hamburg"</t>
  </si>
  <si>
    <t>"Hameln"</t>
  </si>
  <si>
    <t>"Hamm"</t>
  </si>
  <si>
    <t>"Hanau"</t>
  </si>
  <si>
    <t>"Hannover"</t>
  </si>
  <si>
    <t>"Hattingen"</t>
  </si>
  <si>
    <t>"Hechingen"</t>
  </si>
  <si>
    <t>"Heidelberg"</t>
  </si>
  <si>
    <t>"Heidenheim"</t>
  </si>
  <si>
    <t>"Heilbad Heiligenstadt"</t>
  </si>
  <si>
    <t>"Heilbronn"</t>
  </si>
  <si>
    <t>"Hildburghausen"</t>
  </si>
  <si>
    <t>"Hildesheim"</t>
  </si>
  <si>
    <t>"Hof"</t>
  </si>
  <si>
    <t>"Hohenstein-Ernstthal"</t>
  </si>
  <si>
    <t>"Holzminden"</t>
  </si>
  <si>
    <t>"Homburg"</t>
  </si>
  <si>
    <t>"Horb"</t>
  </si>
  <si>
    <t>"Hoyerswerda"</t>
  </si>
  <si>
    <t>"Husum"</t>
  </si>
  <si>
    <t>"Idar-Oberstein"</t>
  </si>
  <si>
    <t>"Ingolstadt"</t>
  </si>
  <si>
    <t>"Iserlohn"</t>
  </si>
  <si>
    <t>"Itzehoe"</t>
  </si>
  <si>
    <t>"Jena"</t>
  </si>
  <si>
    <t>"Kaiserslautern"</t>
  </si>
  <si>
    <t>"Kamenz"</t>
  </si>
  <si>
    <t>"Karlsruhe"</t>
  </si>
  <si>
    <t>"Karlsruhe-Durlach"</t>
  </si>
  <si>
    <t>"Kassel"</t>
  </si>
  <si>
    <t>"Kehl"</t>
  </si>
  <si>
    <t>"Kempten (Allgäu)"</t>
  </si>
  <si>
    <t>"Kenzingen"</t>
  </si>
  <si>
    <t>"Kiel"</t>
  </si>
  <si>
    <t>"Kirchheim unter Teck"</t>
  </si>
  <si>
    <t>"Kleve"</t>
  </si>
  <si>
    <t>"Koblenz"</t>
  </si>
  <si>
    <t>"Köln"</t>
  </si>
  <si>
    <t>"Königstein"</t>
  </si>
  <si>
    <t>"Konstanz"</t>
  </si>
  <si>
    <t>"Korbach"</t>
  </si>
  <si>
    <t>"Krefeld"</t>
  </si>
  <si>
    <t>"Künzelsau"</t>
  </si>
  <si>
    <t>"Lahr"</t>
  </si>
  <si>
    <t>"Landau"</t>
  </si>
  <si>
    <t>"Landshut"</t>
  </si>
  <si>
    <t>"Langenburg"</t>
  </si>
  <si>
    <t>"Lebach"</t>
  </si>
  <si>
    <t>"Leer (Ostfriesland)"</t>
  </si>
  <si>
    <t>"Leipzig"</t>
  </si>
  <si>
    <t>"Lemgo"</t>
  </si>
  <si>
    <t>"Leonberg"</t>
  </si>
  <si>
    <t>"Leutkirch"</t>
  </si>
  <si>
    <t>"Limburg"</t>
  </si>
  <si>
    <t>"Lingen (Ems)"</t>
  </si>
  <si>
    <t>"Löbau"</t>
  </si>
  <si>
    <t>"Lörrach"</t>
  </si>
  <si>
    <t>"Lübeck"</t>
  </si>
  <si>
    <t>"Ludwigsburg"</t>
  </si>
  <si>
    <t>"Ludwigshafen a. Rhein"</t>
  </si>
  <si>
    <t>"Ludwigslust"</t>
  </si>
  <si>
    <t>"Lüneburg"</t>
  </si>
  <si>
    <t>"Magdeburg"</t>
  </si>
  <si>
    <t>"Mainz"</t>
  </si>
  <si>
    <t>"Mannheim"</t>
  </si>
  <si>
    <t>"Marbach"</t>
  </si>
  <si>
    <t>"Marburg"</t>
  </si>
  <si>
    <t>"Marienberg"</t>
  </si>
  <si>
    <t>"Marl"</t>
  </si>
  <si>
    <t>"Maulbronn"</t>
  </si>
  <si>
    <t>"Mayen"</t>
  </si>
  <si>
    <t>"Meiningen"</t>
  </si>
  <si>
    <t>"Meißen"</t>
  </si>
  <si>
    <t>"Meldorf"</t>
  </si>
  <si>
    <t>"Memmingen"</t>
  </si>
  <si>
    <t>"Meppen"</t>
  </si>
  <si>
    <t>"Merzig"</t>
  </si>
  <si>
    <t>"Mönchengladbach"</t>
  </si>
  <si>
    <t>"Montabaur"</t>
  </si>
  <si>
    <t>"Mosbach"</t>
  </si>
  <si>
    <t>"Mühldorf am Inn"</t>
  </si>
  <si>
    <t>"Mühlhausen"</t>
  </si>
  <si>
    <t>"Mühlhausen Zweigstelle Bad Langensalza"</t>
  </si>
  <si>
    <t>"Müllheim"</t>
  </si>
  <si>
    <t>"München"</t>
  </si>
  <si>
    <t>"Münsingen"</t>
  </si>
  <si>
    <t>"Münster"</t>
  </si>
  <si>
    <t>"Nagold"</t>
  </si>
  <si>
    <t>"Neresheim"</t>
  </si>
  <si>
    <t>"Nettetal"</t>
  </si>
  <si>
    <t>"Neubrandenburg"</t>
  </si>
  <si>
    <t>"Neumünster"</t>
  </si>
  <si>
    <t>"Neunkirchen"</t>
  </si>
  <si>
    <t>"Neuruppin"</t>
  </si>
  <si>
    <t>"Neuss"</t>
  </si>
  <si>
    <t>"Neustadt an der Weinstraße"</t>
  </si>
  <si>
    <t>"Neustrelitz"</t>
  </si>
  <si>
    <t>"Neu-Ulm"</t>
  </si>
  <si>
    <t>"Neuwied"</t>
  </si>
  <si>
    <t>"Niebüll"</t>
  </si>
  <si>
    <t>"Nordenham"</t>
  </si>
  <si>
    <t>"Norderstedt"</t>
  </si>
  <si>
    <t>"Nordhausen"</t>
  </si>
  <si>
    <t>"Nordhorn"</t>
  </si>
  <si>
    <t>"Nördlingen"</t>
  </si>
  <si>
    <t>"Nürnberg"</t>
  </si>
  <si>
    <t>"Nürtingen"</t>
  </si>
  <si>
    <t>"Oberkirch"</t>
  </si>
  <si>
    <t>"Oberndorf"</t>
  </si>
  <si>
    <t>"Offenbach am Main"</t>
  </si>
  <si>
    <t>"Offenburg"</t>
  </si>
  <si>
    <t>"Öhringen"</t>
  </si>
  <si>
    <t>"Oldenburg (Oldenburg)"</t>
  </si>
  <si>
    <t>"Oschatz"</t>
  </si>
  <si>
    <t>"Osnabrück"</t>
  </si>
  <si>
    <t>"Osterode am Harz"</t>
  </si>
  <si>
    <t>"Ottweiler"</t>
  </si>
  <si>
    <t>"Paderborn"</t>
  </si>
  <si>
    <t>"Parchim"</t>
  </si>
  <si>
    <t>"Pasewalk"</t>
  </si>
  <si>
    <t>"Passau"</t>
  </si>
  <si>
    <t>"Pforzheim"</t>
  </si>
  <si>
    <t>"Philippsburg"</t>
  </si>
  <si>
    <t>"Pinneberg"</t>
  </si>
  <si>
    <t>"Pirmasens"</t>
  </si>
  <si>
    <t>"Pirna"</t>
  </si>
  <si>
    <t>"Plauen"</t>
  </si>
  <si>
    <t>"Pößneck"</t>
  </si>
  <si>
    <t>"Pößneck Zweigstelle Bad Lobenstein"</t>
  </si>
  <si>
    <t>"Potsdam"</t>
  </si>
  <si>
    <t>"Radolfzell"</t>
  </si>
  <si>
    <t>"Rastatt"</t>
  </si>
  <si>
    <t>"Ravensburg"</t>
  </si>
  <si>
    <t>"Recklinghausen"</t>
  </si>
  <si>
    <t>"Regensburg"</t>
  </si>
  <si>
    <t>"Reinbek"</t>
  </si>
  <si>
    <t>"Reutlingen"</t>
  </si>
  <si>
    <t>"Rheine"</t>
  </si>
  <si>
    <t>"Ribnitz-Damgarten"</t>
  </si>
  <si>
    <t>"Riedlingen"</t>
  </si>
  <si>
    <t>"Riesa"</t>
  </si>
  <si>
    <t>"Rosenheim"</t>
  </si>
  <si>
    <t>"Rostock"</t>
  </si>
  <si>
    <t>"Rottenburg am Neckar"</t>
  </si>
  <si>
    <t>"Rottweil"</t>
  </si>
  <si>
    <t>"Rudolstadt"</t>
  </si>
  <si>
    <t>"Rudolstadt Zweigstelle Saalfeld"</t>
  </si>
  <si>
    <t>"Saarbrücken"</t>
  </si>
  <si>
    <t>"Saarlouis"</t>
  </si>
  <si>
    <t>"Sankt Blasien"</t>
  </si>
  <si>
    <t>"Schönau"</t>
  </si>
  <si>
    <t>"Schopfheim"</t>
  </si>
  <si>
    <t>"Schorndorf"</t>
  </si>
  <si>
    <t>"Schwäbisch Gmünd"</t>
  </si>
  <si>
    <t>"Schwäbisch Hall"</t>
  </si>
  <si>
    <t>"Schwarzenbek"</t>
  </si>
  <si>
    <t>"Schweinfurt"</t>
  </si>
  <si>
    <t>"Schwerin"</t>
  </si>
  <si>
    <t>"Schwetzingen"</t>
  </si>
  <si>
    <t>"Siegburg"</t>
  </si>
  <si>
    <t>"Siegen"</t>
  </si>
  <si>
    <t>"Sigmaringen"</t>
  </si>
  <si>
    <t>"Singen"</t>
  </si>
  <si>
    <t>"Sinsheim"</t>
  </si>
  <si>
    <t>"Sömmerda"</t>
  </si>
  <si>
    <t>"Sondershausen"</t>
  </si>
  <si>
    <t>"Sonneberg"</t>
  </si>
  <si>
    <t>"Spaichingen"</t>
  </si>
  <si>
    <t>"St. Ingbert (St Ingbert)"</t>
  </si>
  <si>
    <t>"St. Wendel (St Wendel)"</t>
  </si>
  <si>
    <t>"Stade"</t>
  </si>
  <si>
    <t>"Stadthagen"</t>
  </si>
  <si>
    <t>"Stadtroda"</t>
  </si>
  <si>
    <t>"Staufen"</t>
  </si>
  <si>
    <t>"Steinfurt"</t>
  </si>
  <si>
    <t>"Stendal"</t>
  </si>
  <si>
    <t>"Stockach"</t>
  </si>
  <si>
    <t>"Stollberg"</t>
  </si>
  <si>
    <t>"Stralsund"</t>
  </si>
  <si>
    <t>"Straubing"</t>
  </si>
  <si>
    <t>"Stuttgart"</t>
  </si>
  <si>
    <t>"Suhl"</t>
  </si>
  <si>
    <t>"Syke"</t>
  </si>
  <si>
    <t>"Tauberbischofsheim"</t>
  </si>
  <si>
    <t>"Tettnang"</t>
  </si>
  <si>
    <t>"Titisee-Neustadt"</t>
  </si>
  <si>
    <t>"Torgau"</t>
  </si>
  <si>
    <t>"Tostedt"</t>
  </si>
  <si>
    <t>"Traunstein"</t>
  </si>
  <si>
    <t>"Trier"</t>
  </si>
  <si>
    <t>"Tübingen"</t>
  </si>
  <si>
    <t>"Tuttlingen"</t>
  </si>
  <si>
    <t>"Überlingen"</t>
  </si>
  <si>
    <t>"Ueckermünde"</t>
  </si>
  <si>
    <t>"Uelzen"</t>
  </si>
  <si>
    <t>"Ulm"</t>
  </si>
  <si>
    <t>"Vaihingen"</t>
  </si>
  <si>
    <t>"Vechta"</t>
  </si>
  <si>
    <t>"Verden (Aller)"</t>
  </si>
  <si>
    <t>"Villingen-Schwenningen"</t>
  </si>
  <si>
    <t>"Völklingen"</t>
  </si>
  <si>
    <t>"Waiblingen"</t>
  </si>
  <si>
    <t>"Waldkirch"</t>
  </si>
  <si>
    <t>"Waldshut-Tiengen"</t>
  </si>
  <si>
    <t>"Walsrode"</t>
  </si>
  <si>
    <t>"Wangen"</t>
  </si>
  <si>
    <t>"Waren"</t>
  </si>
  <si>
    <t>"Weiden i. d. Opf."</t>
  </si>
  <si>
    <t>"Weiden i. d. OPf."</t>
  </si>
  <si>
    <t>"Weilheim i.OB."</t>
  </si>
  <si>
    <t>"Weimar"</t>
  </si>
  <si>
    <t>"Weinheim"</t>
  </si>
  <si>
    <t>"Weißwasser"</t>
  </si>
  <si>
    <t>"Wertheim"</t>
  </si>
  <si>
    <t>"Wetzlar"</t>
  </si>
  <si>
    <t>"Wiesbaden"</t>
  </si>
  <si>
    <t>"Wiesloch"</t>
  </si>
  <si>
    <t>"Wilhelmshaven"</t>
  </si>
  <si>
    <t>"Wismar"</t>
  </si>
  <si>
    <t>"Wittlich"</t>
  </si>
  <si>
    <t>"Wolfach"</t>
  </si>
  <si>
    <t>"Wolfratshausen"</t>
  </si>
  <si>
    <t>"Wolfsburg"</t>
  </si>
  <si>
    <t>"Wolgast"</t>
  </si>
  <si>
    <t>"Worms"</t>
  </si>
  <si>
    <t>"Wuppertal"</t>
  </si>
  <si>
    <t>"Würzburg"</t>
  </si>
  <si>
    <t>"Zittau"</t>
  </si>
  <si>
    <t>"Zweibrücken"</t>
  </si>
  <si>
    <t>"Zwickau"</t>
  </si>
  <si>
    <t>"BaFin"</t>
  </si>
  <si>
    <t>unknown</t>
  </si>
  <si>
    <t>active</t>
  </si>
  <si>
    <t>"aktiv"</t>
  </si>
  <si>
    <t>inactive</t>
  </si>
  <si>
    <t>"inaktiv"</t>
  </si>
  <si>
    <t>"keine Angabe"</t>
  </si>
  <si>
    <t>null</t>
  </si>
  <si>
    <t>"alleinvertretungsberechtigt"</t>
  </si>
  <si>
    <t>"gesamtvertretungsberechtigt"</t>
  </si>
  <si>
    <t>"gesamtvertretungsbrechtigt"</t>
  </si>
  <si>
    <t>"AED"</t>
  </si>
  <si>
    <t>"AFN"</t>
  </si>
  <si>
    <t>"EGP"</t>
  </si>
  <si>
    <t>"EUR"</t>
  </si>
  <si>
    <t>"ALL"</t>
  </si>
  <si>
    <t>"DZD"</t>
  </si>
  <si>
    <t>"USD"</t>
  </si>
  <si>
    <t>"AOA"</t>
  </si>
  <si>
    <t>"XCD"</t>
  </si>
  <si>
    <t>"XAF"</t>
  </si>
  <si>
    <t>"ARS"</t>
  </si>
  <si>
    <t>"AMD"</t>
  </si>
  <si>
    <t>"AWG"</t>
  </si>
  <si>
    <t>"AZN"</t>
  </si>
  <si>
    <t>"ETB"</t>
  </si>
  <si>
    <t>"AUD"</t>
  </si>
  <si>
    <t>"BSD"</t>
  </si>
  <si>
    <t>"BHD"</t>
  </si>
  <si>
    <t>"BDT"</t>
  </si>
  <si>
    <t>"BBD"</t>
  </si>
  <si>
    <t>"BYN"</t>
  </si>
  <si>
    <t>"BZD"</t>
  </si>
  <si>
    <t>"XOF"</t>
  </si>
  <si>
    <t>"BMD"</t>
  </si>
  <si>
    <t>"BTN"</t>
  </si>
  <si>
    <t>"BOB"</t>
  </si>
  <si>
    <t>"BAM"</t>
  </si>
  <si>
    <t>"BWP"</t>
  </si>
  <si>
    <t>"BRL"</t>
  </si>
  <si>
    <t>"BND"</t>
  </si>
  <si>
    <t>"BGN"</t>
  </si>
  <si>
    <t>"BIF"</t>
  </si>
  <si>
    <t>"CVE"</t>
  </si>
  <si>
    <t>"CLP"</t>
  </si>
  <si>
    <t>"CNY"</t>
  </si>
  <si>
    <t>"NZD"</t>
  </si>
  <si>
    <t>"CRC"</t>
  </si>
  <si>
    <t>"ANG"</t>
  </si>
  <si>
    <t>"DKK"</t>
  </si>
  <si>
    <t>"DEM"</t>
  </si>
  <si>
    <t>"DOP"</t>
  </si>
  <si>
    <t>"DJF"</t>
  </si>
  <si>
    <t>"ERN"</t>
  </si>
  <si>
    <t>"SZL"</t>
  </si>
  <si>
    <t>"FKP"</t>
  </si>
  <si>
    <t>"FJD"</t>
  </si>
  <si>
    <t>"XPF"</t>
  </si>
  <si>
    <t>"GMD"</t>
  </si>
  <si>
    <t>"ILS"</t>
  </si>
  <si>
    <t>"GEL"</t>
  </si>
  <si>
    <t>"GHS"</t>
  </si>
  <si>
    <t>"GIP"</t>
  </si>
  <si>
    <t>"GBP"</t>
  </si>
  <si>
    <t>"GTQ"</t>
  </si>
  <si>
    <t>"GNF"</t>
  </si>
  <si>
    <t>"GYD"</t>
  </si>
  <si>
    <t>"HTG"</t>
  </si>
  <si>
    <t>"HNL"</t>
  </si>
  <si>
    <t>"HKD"</t>
  </si>
  <si>
    <t>"INR"</t>
  </si>
  <si>
    <t>"IDR"</t>
  </si>
  <si>
    <t>"IQD"</t>
  </si>
  <si>
    <t>"IRR"</t>
  </si>
  <si>
    <t>"ISK"</t>
  </si>
  <si>
    <t>"JMD"</t>
  </si>
  <si>
    <t>"JPY"</t>
  </si>
  <si>
    <t>"YER"</t>
  </si>
  <si>
    <t>"JOD"</t>
  </si>
  <si>
    <t>"KYD"</t>
  </si>
  <si>
    <t>"KHR"</t>
  </si>
  <si>
    <t>"CAD"</t>
  </si>
  <si>
    <t>"KZT"</t>
  </si>
  <si>
    <t>"QAR"</t>
  </si>
  <si>
    <t>"KES"</t>
  </si>
  <si>
    <t>"KGS"</t>
  </si>
  <si>
    <t>"COP"</t>
  </si>
  <si>
    <t>"KMF"</t>
  </si>
  <si>
    <t>"CDF"</t>
  </si>
  <si>
    <t>"KPW"</t>
  </si>
  <si>
    <t>"KRW"</t>
  </si>
  <si>
    <t>"HRK"</t>
  </si>
  <si>
    <t>"CUP"</t>
  </si>
  <si>
    <t>"CUC"</t>
  </si>
  <si>
    <t>"KWD"</t>
  </si>
  <si>
    <t>"LAK"</t>
  </si>
  <si>
    <t>"LSL"</t>
  </si>
  <si>
    <t>"LBP"</t>
  </si>
  <si>
    <t>"LRD"</t>
  </si>
  <si>
    <t>"LYD"</t>
  </si>
  <si>
    <t>"CHF"</t>
  </si>
  <si>
    <t>"MOP"</t>
  </si>
  <si>
    <t>"MAG"</t>
  </si>
  <si>
    <t>"MWK"</t>
  </si>
  <si>
    <t>"MYR"</t>
  </si>
  <si>
    <t>"MVR"</t>
  </si>
  <si>
    <t>"MAD"</t>
  </si>
  <si>
    <t>"MRU"</t>
  </si>
  <si>
    <t>"MUR"</t>
  </si>
  <si>
    <t>"MXN"</t>
  </si>
  <si>
    <t>"MDL"</t>
  </si>
  <si>
    <t>"MNT"</t>
  </si>
  <si>
    <t>"MZN"</t>
  </si>
  <si>
    <t>"MMK"</t>
  </si>
  <si>
    <t>"NAD"</t>
  </si>
  <si>
    <t>"NPR"</t>
  </si>
  <si>
    <t>"NIO"</t>
  </si>
  <si>
    <t>"NGN"</t>
  </si>
  <si>
    <t>"MKD"</t>
  </si>
  <si>
    <t>"TRY"</t>
  </si>
  <si>
    <t>"NOK"</t>
  </si>
  <si>
    <t>"OMR"</t>
  </si>
  <si>
    <t>"PKR"</t>
  </si>
  <si>
    <t>"PAB"</t>
  </si>
  <si>
    <t>"PGK"</t>
  </si>
  <si>
    <t>"PYG"</t>
  </si>
  <si>
    <t>"PEN"</t>
  </si>
  <si>
    <t>"PHP"</t>
  </si>
  <si>
    <t>"PLN"</t>
  </si>
  <si>
    <t>"RWF"</t>
  </si>
  <si>
    <t>"RON"</t>
  </si>
  <si>
    <t>"RUB"</t>
  </si>
  <si>
    <t>"SBD"</t>
  </si>
  <si>
    <t>"ZMW"</t>
  </si>
  <si>
    <t>"WST"</t>
  </si>
  <si>
    <t>"STN"</t>
  </si>
  <si>
    <t>"SAR"</t>
  </si>
  <si>
    <t>"SEK"</t>
  </si>
  <si>
    <t>"RSD"</t>
  </si>
  <si>
    <t>"SCR"</t>
  </si>
  <si>
    <t>"SLL"</t>
  </si>
  <si>
    <t>"ZWL"</t>
  </si>
  <si>
    <t>"SGD"</t>
  </si>
  <si>
    <t>"SOS"</t>
  </si>
  <si>
    <t>"LKR"</t>
  </si>
  <si>
    <t>"ZAR"</t>
  </si>
  <si>
    <t>"SDG"</t>
  </si>
  <si>
    <t>"SSP"</t>
  </si>
  <si>
    <t>"SRD"</t>
  </si>
  <si>
    <t>"SYP"</t>
  </si>
  <si>
    <t>"TJS"</t>
  </si>
  <si>
    <t>"TWD"</t>
  </si>
  <si>
    <t>"TZS"</t>
  </si>
  <si>
    <t>"THB"</t>
  </si>
  <si>
    <t>"TOP"</t>
  </si>
  <si>
    <t>"TTD"</t>
  </si>
  <si>
    <t>"CZK"</t>
  </si>
  <si>
    <t>"TND"</t>
  </si>
  <si>
    <t>"TMT"</t>
  </si>
  <si>
    <t>"UGX"</t>
  </si>
  <si>
    <t>"UAH"</t>
  </si>
  <si>
    <t>"HUF"</t>
  </si>
  <si>
    <t>"UYU"</t>
  </si>
  <si>
    <t>"UZS"</t>
  </si>
  <si>
    <t>"VUV"</t>
  </si>
  <si>
    <t>"VES"</t>
  </si>
  <si>
    <t>"VND"</t>
  </si>
  <si>
    <t>"Land- und Forstwirtschaft, Fischerei"</t>
  </si>
  <si>
    <t>"01"</t>
  </si>
  <si>
    <t>"Landwirtschaft, Jagd und damit verbundene Tätigkeiten"</t>
  </si>
  <si>
    <t>"01.1"</t>
  </si>
  <si>
    <t>"Anbau einjähriger Pflanzen"</t>
  </si>
  <si>
    <t>"01.11"</t>
  </si>
  <si>
    <t>"Anbau von Getreide (ohne Reis), Hülsenfrüchten und Ölsaaten"</t>
  </si>
  <si>
    <t>"01.11.0"</t>
  </si>
  <si>
    <t>"01.12"</t>
  </si>
  <si>
    <t>"Anbau von Reis"</t>
  </si>
  <si>
    <t>"01.12.0"</t>
  </si>
  <si>
    <t>"01.13"</t>
  </si>
  <si>
    <t>"Anbau von Gemüse und Melonen sowie Wurzeln und Knollen"</t>
  </si>
  <si>
    <t>"01.13.1"</t>
  </si>
  <si>
    <t>"Anbau von Gemüse und Melonen"</t>
  </si>
  <si>
    <t>"01.13.2"</t>
  </si>
  <si>
    <t>"Anbau von Kartoffeln sowie sonstigen Wurzeln und Knollen"</t>
  </si>
  <si>
    <t>"01.14"</t>
  </si>
  <si>
    <t>"Anbau von Zuckerrohr"</t>
  </si>
  <si>
    <t>"01.14.0"</t>
  </si>
  <si>
    <t>"01.15"</t>
  </si>
  <si>
    <t>"Anbau von Tabak"</t>
  </si>
  <si>
    <t>"01.15.0"</t>
  </si>
  <si>
    <t>"01.16"</t>
  </si>
  <si>
    <t>"Anbau von Faserpflanzen"</t>
  </si>
  <si>
    <t>"01.16.0"</t>
  </si>
  <si>
    <t>"01.19"</t>
  </si>
  <si>
    <t>"Anbau von sonstigen einjährigen Pflanzen"</t>
  </si>
  <si>
    <t>"01.19.1"</t>
  </si>
  <si>
    <t>"Anbau von Zierpflanzen zum Schnitt"</t>
  </si>
  <si>
    <t>"01.19.2"</t>
  </si>
  <si>
    <t>"Erzeugung von Blumensamen"</t>
  </si>
  <si>
    <t>"01.19.9"</t>
  </si>
  <si>
    <t>"Anbau von sonstigen einjährigen Pflanzen anderweitig nicht genannt"</t>
  </si>
  <si>
    <t>"01.2"</t>
  </si>
  <si>
    <t>"Anbau mehrjähriger Pflanzen"</t>
  </si>
  <si>
    <t>"01.21"</t>
  </si>
  <si>
    <t>"Anbau von Wein- und Tafeltrauben"</t>
  </si>
  <si>
    <t>"01.21.0"</t>
  </si>
  <si>
    <t>"01.22"</t>
  </si>
  <si>
    <t>"Anbau von tropischen und subtropischen Früchten"</t>
  </si>
  <si>
    <t>"01.22.0"</t>
  </si>
  <si>
    <t>"01.23"</t>
  </si>
  <si>
    <t>"Anbau von Zitrusfrüchten"</t>
  </si>
  <si>
    <t>"01.23.0"</t>
  </si>
  <si>
    <t>"01.24"</t>
  </si>
  <si>
    <t>"Anbau von Kern- und Steinobst"</t>
  </si>
  <si>
    <t>"01.24.0"</t>
  </si>
  <si>
    <t>"01.25"</t>
  </si>
  <si>
    <t>"Anbau von sonstigem Obst und Nüssen"</t>
  </si>
  <si>
    <t>"01.25.1"</t>
  </si>
  <si>
    <t>"Anbau von Erdbeeren"</t>
  </si>
  <si>
    <t>"01.25.9"</t>
  </si>
  <si>
    <t>"Anbau von sonstigem Obst (ohne Erdbeeren) und Nüssen"</t>
  </si>
  <si>
    <t>"01.26"</t>
  </si>
  <si>
    <t>"Anbau von ölhaltigen Früchten"</t>
  </si>
  <si>
    <t>"01.26.0"</t>
  </si>
  <si>
    <t>"01.27"</t>
  </si>
  <si>
    <t>"Anbau von Pflanzen zur Herstellung von Getränken"</t>
  </si>
  <si>
    <t>"01.27.0"</t>
  </si>
  <si>
    <t>"01.28"</t>
  </si>
  <si>
    <t>"Anbau von Gewürzpflanzen, Pflanzen für aromatische, narkotische und pharmazeutische Zwecke"</t>
  </si>
  <si>
    <t>"01.28.0"</t>
  </si>
  <si>
    <t>"01.29"</t>
  </si>
  <si>
    <t>"Anbau sonstiger mehrjähriger Pflanzen"</t>
  </si>
  <si>
    <t>"01.29.0"</t>
  </si>
  <si>
    <t>"01.3"</t>
  </si>
  <si>
    <t>"Betrieb von Baumschulen, sowie Anbau von Pflanzen zu Vermehrungszwecken"</t>
  </si>
  <si>
    <t>"01.30"</t>
  </si>
  <si>
    <t>"01.30.1"</t>
  </si>
  <si>
    <t>"Anbau von Zimmerpflanzen, Beet- und Balkonpflanzen"</t>
  </si>
  <si>
    <t>"01.30.2"</t>
  </si>
  <si>
    <t>"Betrieb von Baumschulen"</t>
  </si>
  <si>
    <t>"01.4"</t>
  </si>
  <si>
    <t>"Tierhaltung"</t>
  </si>
  <si>
    <t>"01.41"</t>
  </si>
  <si>
    <t>"Haltung von Milchkühen"</t>
  </si>
  <si>
    <t>"01.41.0"</t>
  </si>
  <si>
    <t>"01.42"</t>
  </si>
  <si>
    <t>"Haltung von anderen Rindern"</t>
  </si>
  <si>
    <t>"01.42.0"</t>
  </si>
  <si>
    <t>"01.43"</t>
  </si>
  <si>
    <t>"Haltung von Pferden und Eseln"</t>
  </si>
  <si>
    <t>"01.43.0"</t>
  </si>
  <si>
    <t>"01.44"</t>
  </si>
  <si>
    <t>"Haltung von Kamelen"</t>
  </si>
  <si>
    <t>"01.44.0"</t>
  </si>
  <si>
    <t>"01.45"</t>
  </si>
  <si>
    <t>"Haltung von Schafen und Ziegen"</t>
  </si>
  <si>
    <t>"01.45.0"</t>
  </si>
  <si>
    <t>"01.46"</t>
  </si>
  <si>
    <t>"Haltung von Schweinen"</t>
  </si>
  <si>
    <t>"01.46.0"</t>
  </si>
  <si>
    <t>"01.47"</t>
  </si>
  <si>
    <t>"Haltung von Geflügel"</t>
  </si>
  <si>
    <t>"01.47.1"</t>
  </si>
  <si>
    <t>"Haltung von Legehennen zur Konsumeiererzeugung"</t>
  </si>
  <si>
    <t>"01.47.2"</t>
  </si>
  <si>
    <t>"Betrieb von Brütereien"</t>
  </si>
  <si>
    <t>"01.47.9"</t>
  </si>
  <si>
    <t>"Sonstige Haltung von Nutzgeflügel"</t>
  </si>
  <si>
    <t>"01.49"</t>
  </si>
  <si>
    <t>"Sonstige Tierhaltung"</t>
  </si>
  <si>
    <t>"01.49.0"</t>
  </si>
  <si>
    <t>"01.5"</t>
  </si>
  <si>
    <t>"Gemischte Landwirtschaft"</t>
  </si>
  <si>
    <t>"01.50"</t>
  </si>
  <si>
    <t>"01.50.0"</t>
  </si>
  <si>
    <t>"01.6"</t>
  </si>
  <si>
    <t>"Erbringung von landwirtschaftlichen Dienstleistungen"</t>
  </si>
  <si>
    <t>"01.61"</t>
  </si>
  <si>
    <t>"Erbringung von landwirtschaftlichen Dienstleistungen für den Pflanzenbau"</t>
  </si>
  <si>
    <t>"01.61.0"</t>
  </si>
  <si>
    <t>"01.62"</t>
  </si>
  <si>
    <t>"Erbringung von landwirtschaftlichen Dienstleistungen für die Tierhaltung"</t>
  </si>
  <si>
    <t>"01.62.0"</t>
  </si>
  <si>
    <t>"01.63"</t>
  </si>
  <si>
    <t>"Nach der Ernte anfallende Tätigkeiten in der pflanzlichen Erzeugung"</t>
  </si>
  <si>
    <t>"01.63.0"</t>
  </si>
  <si>
    <t>"01.64"</t>
  </si>
  <si>
    <t>"Saatgutaufbereitung"</t>
  </si>
  <si>
    <t>"01.64.0"</t>
  </si>
  <si>
    <t>"01.7"</t>
  </si>
  <si>
    <t>"Jagd, Fallenstellerei und damit verbundene Tätigkeiten"</t>
  </si>
  <si>
    <t>"01.70"</t>
  </si>
  <si>
    <t>"01.70.0"</t>
  </si>
  <si>
    <t>"02"</t>
  </si>
  <si>
    <t>"Forstwirtschaft und Holzeinschlag"</t>
  </si>
  <si>
    <t>"02.1"</t>
  </si>
  <si>
    <t>"Forstwirtschaft"</t>
  </si>
  <si>
    <t>"02.10"</t>
  </si>
  <si>
    <t>"02.10.0"</t>
  </si>
  <si>
    <t>"02.2"</t>
  </si>
  <si>
    <t>"Holzeinschlag"</t>
  </si>
  <si>
    <t>"02.20"</t>
  </si>
  <si>
    <t>"02.20.0"</t>
  </si>
  <si>
    <t>"02.3"</t>
  </si>
  <si>
    <t>"Sammeln von wild wachsenden Produkten (ohne Holz)"</t>
  </si>
  <si>
    <t>"02.30"</t>
  </si>
  <si>
    <t>"02.30.0"</t>
  </si>
  <si>
    <t>"02.4"</t>
  </si>
  <si>
    <t>"Erbringung von Dienstleistungen für Forstwirtschaft und Holzeinschlag"</t>
  </si>
  <si>
    <t>"02.40"</t>
  </si>
  <si>
    <t>"02.40.0"</t>
  </si>
  <si>
    <t>"03"</t>
  </si>
  <si>
    <t>"Fischerei und Aquakultur"</t>
  </si>
  <si>
    <t>"03.1"</t>
  </si>
  <si>
    <t>"Fischerei"</t>
  </si>
  <si>
    <t>"03.11"</t>
  </si>
  <si>
    <t>"Meeresfischerei"</t>
  </si>
  <si>
    <t>"03.11.0"</t>
  </si>
  <si>
    <t>"03.12"</t>
  </si>
  <si>
    <t>"Süßwasserfischerei"</t>
  </si>
  <si>
    <t>"03.12.0"</t>
  </si>
  <si>
    <t>"03.2"</t>
  </si>
  <si>
    <t>"Aquakultur"</t>
  </si>
  <si>
    <t>"03.21"</t>
  </si>
  <si>
    <t>"Meeresaquakultur"</t>
  </si>
  <si>
    <t>"03.21.0"</t>
  </si>
  <si>
    <t>"03.22"</t>
  </si>
  <si>
    <t>"Süßwasseraquakultur"</t>
  </si>
  <si>
    <t>"03.22.0"</t>
  </si>
  <si>
    <t>"Bergbau und Gewinnung von Steinen und Erden"</t>
  </si>
  <si>
    <t>"05"</t>
  </si>
  <si>
    <t>"Kohlenbergbau"</t>
  </si>
  <si>
    <t>"05.1"</t>
  </si>
  <si>
    <t>"Steinkohlenbergbau"</t>
  </si>
  <si>
    <t>"05.10"</t>
  </si>
  <si>
    <t>"05.10.0"</t>
  </si>
  <si>
    <t>"05.2"</t>
  </si>
  <si>
    <t>"Braunkohlenbergbau"</t>
  </si>
  <si>
    <t>"05.20"</t>
  </si>
  <si>
    <t>"05.20.0"</t>
  </si>
  <si>
    <t>"06"</t>
  </si>
  <si>
    <t>"Gewinnung von Erdöl und Erdgas"</t>
  </si>
  <si>
    <t>"06.1"</t>
  </si>
  <si>
    <t>"Gewinnung von Erdöl"</t>
  </si>
  <si>
    <t>"06.10"</t>
  </si>
  <si>
    <t>"06.10.0"</t>
  </si>
  <si>
    <t>"06.2"</t>
  </si>
  <si>
    <t>"Gewinnung von Erdgas"</t>
  </si>
  <si>
    <t>"06.20"</t>
  </si>
  <si>
    <t>"06.20.0"</t>
  </si>
  <si>
    <t>"07"</t>
  </si>
  <si>
    <t>"Erzbergbau"</t>
  </si>
  <si>
    <t>"07.1"</t>
  </si>
  <si>
    <t>"Eisenerzbergbau"</t>
  </si>
  <si>
    <t>"07.10"</t>
  </si>
  <si>
    <t>"07.10.0"</t>
  </si>
  <si>
    <t>"07.2"</t>
  </si>
  <si>
    <t>"NE-Metallerzbergbau"</t>
  </si>
  <si>
    <t>"07.21"</t>
  </si>
  <si>
    <t>"Bergbau auf Uran- und Thoriumerze"</t>
  </si>
  <si>
    <t>"07.21.0"</t>
  </si>
  <si>
    <t>"07.29"</t>
  </si>
  <si>
    <t>"Sonstiger NE-Metallerzbergbau"</t>
  </si>
  <si>
    <t>"07.29.0"</t>
  </si>
  <si>
    <t>"08"</t>
  </si>
  <si>
    <t>"Gewinnung von Steinen und Erden, sonstiger Bergbau"</t>
  </si>
  <si>
    <t>"08.1"</t>
  </si>
  <si>
    <t>"Gewinnung von Natursteinen, Kies, Sand, Ton und Kaolin"</t>
  </si>
  <si>
    <t>"08.11"</t>
  </si>
  <si>
    <t>"Gewinnung von Naturwerksteinen und Natursteinen, Kalk- und Gipsstein, Kreide und Schiefer"</t>
  </si>
  <si>
    <t>"08.11.0"</t>
  </si>
  <si>
    <t>"08.12"</t>
  </si>
  <si>
    <t>"Gewinnung von Kies, Sand, Ton und Kaolin"</t>
  </si>
  <si>
    <t>"08.12.0"</t>
  </si>
  <si>
    <t>"08.9"</t>
  </si>
  <si>
    <t>"Sonstiger Bergbau; Gewinnung von Steinen und Erden anderweitig nicht genannt"</t>
  </si>
  <si>
    <t>"08.91"</t>
  </si>
  <si>
    <t>"Bergbau auf chemische und Düngemittelminerale"</t>
  </si>
  <si>
    <t>"08.91.0"</t>
  </si>
  <si>
    <t>"08.92"</t>
  </si>
  <si>
    <t>"Torfgewinnung"</t>
  </si>
  <si>
    <t>"08.92.0"</t>
  </si>
  <si>
    <t>"08.93"</t>
  </si>
  <si>
    <t>"Gewinnung von Salz"</t>
  </si>
  <si>
    <t>"08.93.0"</t>
  </si>
  <si>
    <t>"08.99"</t>
  </si>
  <si>
    <t>"Gewinnung von Steinen und Erden anderweitig nicht genannt"</t>
  </si>
  <si>
    <t>"08.99.0"</t>
  </si>
  <si>
    <t>"09"</t>
  </si>
  <si>
    <t>"Erbringung von Dienstleistungen für den Bergbau und für die Gewinnung von Steinen und Erden"</t>
  </si>
  <si>
    <t>"09.1"</t>
  </si>
  <si>
    <t>"Erbringung von Dienstleistungen für die Gewinnung von Erdöl und Erdgas"</t>
  </si>
  <si>
    <t>"09.10"</t>
  </si>
  <si>
    <t>"09.10.0"</t>
  </si>
  <si>
    <t>"09.9"</t>
  </si>
  <si>
    <t>"Erbringung von Dienstleistungen für den sonstigen Bergbau und die Gewinnung von Steinen und Erden"</t>
  </si>
  <si>
    <t>"09.90"</t>
  </si>
  <si>
    <t>"09.90.0"</t>
  </si>
  <si>
    <t>"Verarbeitendes Gewerbe"</t>
  </si>
  <si>
    <t>"Herstellung von Nahrungs- und Futtermitteln"</t>
  </si>
  <si>
    <t>"Schlachten und Fleischverarbeitung"</t>
  </si>
  <si>
    <t>"Schlachten (ohne Schlachten von Geflügel)"</t>
  </si>
  <si>
    <t>"10.11.0"</t>
  </si>
  <si>
    <t>"Schlachten von Geflügel"</t>
  </si>
  <si>
    <t>"10.12.0"</t>
  </si>
  <si>
    <t>"Fleischverarbeitung"</t>
  </si>
  <si>
    <t>"10.13.0"</t>
  </si>
  <si>
    <t>"Fischverarbeitung"</t>
  </si>
  <si>
    <t>"10.20.0"</t>
  </si>
  <si>
    <t>"Obst- und Gemüseverarbeitung"</t>
  </si>
  <si>
    <t>"Kartoffelverarbeitung"</t>
  </si>
  <si>
    <t>"10.31.0"</t>
  </si>
  <si>
    <t>"Herstellung von Frucht- und Gemüsesäften"</t>
  </si>
  <si>
    <t>"10.32.0"</t>
  </si>
  <si>
    <t>"Sonstige Verarbeitung von Obst und Gemüse"</t>
  </si>
  <si>
    <t>"10.39.0"</t>
  </si>
  <si>
    <t>"Herstellung von pflanzlichen und tierischen Ölen und Fetten"</t>
  </si>
  <si>
    <t>"Herstellung von Ölen und Fetten (ohne Margarine u. ä. Nahrungsfette)"</t>
  </si>
  <si>
    <t>"10.41.0"</t>
  </si>
  <si>
    <t>"Herstellung von Margarine u. ä. Nahrungsfetten"</t>
  </si>
  <si>
    <t>"10.42.0"</t>
  </si>
  <si>
    <t>"Milchverarbeitung"</t>
  </si>
  <si>
    <t>"Milchverarbeitung (ohne Herstellung von Speiseeis)"</t>
  </si>
  <si>
    <t>"10.51.0"</t>
  </si>
  <si>
    <t>"Herstellung von Speiseeis"</t>
  </si>
  <si>
    <t>"10.52.0"</t>
  </si>
  <si>
    <t>"Mahl- und Schälmühlen, Herstellung von Stärke und Stärkeerzeugnissen"</t>
  </si>
  <si>
    <t>"Mahl- und Schälmühlen"</t>
  </si>
  <si>
    <t>"10.61.0"</t>
  </si>
  <si>
    <t>"Herstellung von Stärke und Stärkeerzeugnissen"</t>
  </si>
  <si>
    <t>"10.62.0"</t>
  </si>
  <si>
    <t>"Herstellung von Back- und Teigwaren"</t>
  </si>
  <si>
    <t>"Herstellung von Backwaren (ohne Dauerbackwaren)"</t>
  </si>
  <si>
    <t>"10.71.0"</t>
  </si>
  <si>
    <t>"Herstellung von Dauerbackwaren"</t>
  </si>
  <si>
    <t>"10.72.0"</t>
  </si>
  <si>
    <t>"Herstellung von Teigwaren"</t>
  </si>
  <si>
    <t>"10.73.0"</t>
  </si>
  <si>
    <t>"Herstellung von sonstigen Nahrungsmitteln"</t>
  </si>
  <si>
    <t>"Herstellung von Zucker"</t>
  </si>
  <si>
    <t>"10.81.0"</t>
  </si>
  <si>
    <t>"Herstellung von Süßwaren (ohne Dauerbackwaren)"</t>
  </si>
  <si>
    <t>"10.82.0"</t>
  </si>
  <si>
    <t>"Verarbeitung von Kaffee und Tee, Herstellung von Kaffee-Ersatz"</t>
  </si>
  <si>
    <t>"10.83.0"</t>
  </si>
  <si>
    <t>"Herstellung von Würzmitteln und Soßen"</t>
  </si>
  <si>
    <t>"10.84.0"</t>
  </si>
  <si>
    <t>"Herstellung von Fertiggerichten"</t>
  </si>
  <si>
    <t>"10.85.0"</t>
  </si>
  <si>
    <t>"Herstellung von homogenisierten und diätetischen Nahrungsmitteln"</t>
  </si>
  <si>
    <t>"10.86.0"</t>
  </si>
  <si>
    <t>"Herstellung von sonstigen Nahrungsmitteln anderweitig nicht genannt"</t>
  </si>
  <si>
    <t>"10.89.0"</t>
  </si>
  <si>
    <t>"Herstellung von Futtermitteln"</t>
  </si>
  <si>
    <t>"Herstellung von Futtermitteln für Nutztiere"</t>
  </si>
  <si>
    <t>"10.91.0"</t>
  </si>
  <si>
    <t>"Herstellung von Futtermitteln für sonstige Tiere"</t>
  </si>
  <si>
    <t>"10.92.0"</t>
  </si>
  <si>
    <t>"Getränkeherstellung"</t>
  </si>
  <si>
    <t>"Herstellung von Spirituosen"</t>
  </si>
  <si>
    <t>"11.01.0"</t>
  </si>
  <si>
    <t>"Herstellung von Traubenwein"</t>
  </si>
  <si>
    <t>"11.02.0"</t>
  </si>
  <si>
    <t>"Herstellung von Apfelwein und anderen Fruchtweinen"</t>
  </si>
  <si>
    <t>"11.03.0"</t>
  </si>
  <si>
    <t>"Herstellung von Wermutwein und sonstigen aromatisierten Weinen"</t>
  </si>
  <si>
    <t>"11.04.0"</t>
  </si>
  <si>
    <t>"Herstellung von Bier"</t>
  </si>
  <si>
    <t>"11.05.0"</t>
  </si>
  <si>
    <t>"Herstellung von Malz"</t>
  </si>
  <si>
    <t>"11.06.0"</t>
  </si>
  <si>
    <t>"Herstellung von Erfrischungsgetränken; Gewinnung natürlicher Mineralwässer"</t>
  </si>
  <si>
    <t>"11.07.0"</t>
  </si>
  <si>
    <t>"Tabakverarbeitung"</t>
  </si>
  <si>
    <t>"12.00.0"</t>
  </si>
  <si>
    <t>"Herstellung von Textilien"</t>
  </si>
  <si>
    <t>"Spinnstoffaufbereitung und Spinnerei"</t>
  </si>
  <si>
    <t>"13.10.0"</t>
  </si>
  <si>
    <t>"Weberei"</t>
  </si>
  <si>
    <t>"13.20.0"</t>
  </si>
  <si>
    <t>"Veredlung von Textilien und Bekleidung"</t>
  </si>
  <si>
    <t>"13.30.0"</t>
  </si>
  <si>
    <t>"Herstellung von sonstigen Textilwaren"</t>
  </si>
  <si>
    <t>"Herstellung von gewirktem und gestricktem Stoff"</t>
  </si>
  <si>
    <t>"13.91.0"</t>
  </si>
  <si>
    <t>"Herstellung von konfektionierten Textilwaren (ohne Bekleidung)"</t>
  </si>
  <si>
    <t>"13.92.0"</t>
  </si>
  <si>
    <t>"Herstellung von Teppichen"</t>
  </si>
  <si>
    <t>"13.93.0"</t>
  </si>
  <si>
    <t>"Herstellung von Seilerwaren"</t>
  </si>
  <si>
    <t>"13.94.0"</t>
  </si>
  <si>
    <t>"Herstellung von Vliesstoff und Erzeugnissen daraus (ohne Bekleidung)"</t>
  </si>
  <si>
    <t>"13.95.0"</t>
  </si>
  <si>
    <t>"Herstellung von technischen Textilien"</t>
  </si>
  <si>
    <t>"13.96.0"</t>
  </si>
  <si>
    <t>"Herstellung von sonstigen Textilwaren anderweitig nicht genannt"</t>
  </si>
  <si>
    <t>"13.99.0"</t>
  </si>
  <si>
    <t>"Herstellung von Bekleidung"</t>
  </si>
  <si>
    <t>"Herstellung von Bekleidung (ohne Pelzbekleidung)"</t>
  </si>
  <si>
    <t>"Herstellung von Lederbekleidung"</t>
  </si>
  <si>
    <t>"14.11.0"</t>
  </si>
  <si>
    <t>"Herstellung von Arbeits- und Berufsbekleidung"</t>
  </si>
  <si>
    <t>"14.12.0"</t>
  </si>
  <si>
    <t>"Herstellung von sonstiger Oberbekleidung"</t>
  </si>
  <si>
    <t>"14.13.1"</t>
  </si>
  <si>
    <t>"Herstellung von gewebter Oberbekleidung für Herren und Knaben"</t>
  </si>
  <si>
    <t>"14.13.2"</t>
  </si>
  <si>
    <t>"Herstellung von gewebter Oberbekleidung für Damen und Mädchen"</t>
  </si>
  <si>
    <t>"14.13.3"</t>
  </si>
  <si>
    <t>"Herstellung von gewirkter und gestrickter Oberbekleidung"</t>
  </si>
  <si>
    <t>"Herstellung von Wäsche"</t>
  </si>
  <si>
    <t>"14.14.1"</t>
  </si>
  <si>
    <t>"Herstellung von gewebter Wäsche (ohne Miederwaren)"</t>
  </si>
  <si>
    <t>"14.14.2"</t>
  </si>
  <si>
    <t>"Herstellung von gewirkter und gestrickter Wäsche (ohne Miederwaren)"</t>
  </si>
  <si>
    <t>"14.14.3"</t>
  </si>
  <si>
    <t>"Herstellung von Miederwaren"</t>
  </si>
  <si>
    <t>"Herstellung von sonstiger Bekleidung und Bekleidungszubehör anderweitig nicht genannt"</t>
  </si>
  <si>
    <t>"14.19.0"</t>
  </si>
  <si>
    <t>"Herstellung von Pelzwaren"</t>
  </si>
  <si>
    <t>"14.20.0"</t>
  </si>
  <si>
    <t>"Herstellung von Bekleidung aus gewirktem und gestricktem Stoff"</t>
  </si>
  <si>
    <t>"Herstellung von Strumpfwaren"</t>
  </si>
  <si>
    <t>"14.31.0"</t>
  </si>
  <si>
    <t>"Herstellung von sonstiger Bekleidung aus gewirktem und gestricktem Stoff"</t>
  </si>
  <si>
    <t>"14.39.0"</t>
  </si>
  <si>
    <t>"Herstellung von Leder, Lederwaren und Schuhen"</t>
  </si>
  <si>
    <t>"Herstellung von Leder und Lederwaren (ohne Herstellung von Lederbekleidung)"</t>
  </si>
  <si>
    <t>"Herstellung von Leder und Lederfaserstoff; Zurichtung und Färben von Fellen"</t>
  </si>
  <si>
    <t>"15.11.0"</t>
  </si>
  <si>
    <t>"Lederverarbeitung (ohne Herstellung von Lederbekleidung)"</t>
  </si>
  <si>
    <t>"15.12.0"</t>
  </si>
  <si>
    <t>"Herstellung von Schuhen"</t>
  </si>
  <si>
    <t>"15.20.0"</t>
  </si>
  <si>
    <t>"Herstellung von Holz-, Flecht-, Korb- und Korkwaren (ohne Möbel)"</t>
  </si>
  <si>
    <t>"Säge-, Hobel- und Holzimprägnierwerke"</t>
  </si>
  <si>
    <t>"16.10.0"</t>
  </si>
  <si>
    <t>"Herstellung von sonstigen Holz-, Kork-, Flecht- und Korbwaren (ohne Möbel)"</t>
  </si>
  <si>
    <t>"Herstellung von Furnier-, Sperrholz-, Holzfaser- und Holzspanplatten"</t>
  </si>
  <si>
    <t>"16.21.0"</t>
  </si>
  <si>
    <t>"Herstellung von Parketttafeln"</t>
  </si>
  <si>
    <t>"16.22.0"</t>
  </si>
  <si>
    <t>"Herstellung von sonstigen Konstruktionsteilen, Fertigbauteilen, Ausbauelementen und Fertigteilbauten aus Holz"</t>
  </si>
  <si>
    <t>"16.23.0"</t>
  </si>
  <si>
    <t>"Herstellung von Verpackungsmitteln, Lagerbehältern und Ladungsträgern aus Holz"</t>
  </si>
  <si>
    <t>"16.24.0"</t>
  </si>
  <si>
    <t>"Herstellung von Holzwaren a.n.g, Kork-, Flecht- und Korbwaren (ohne Möbel)"</t>
  </si>
  <si>
    <t>"16.29.0"</t>
  </si>
  <si>
    <t>"Herstellung von Holzwaren anderweitig nicht genannt, Kork-, Flecht- und Korbwaren (ohne Möbel)"</t>
  </si>
  <si>
    <t>"Herstellung von Papier, Pappe und Waren daraus"</t>
  </si>
  <si>
    <t>"Herstellung von Holz- und Zellstoff, Papier, Karton und Pappe"</t>
  </si>
  <si>
    <t>"Herstellung von Holz- und Zellstoff"</t>
  </si>
  <si>
    <t>"17.11.0"</t>
  </si>
  <si>
    <t>"Herstellung von Papier, Karton und Pappe"</t>
  </si>
  <si>
    <t>"17.12.0"</t>
  </si>
  <si>
    <t>"Herstellung von Waren aus Papier, Karton und Pappe"</t>
  </si>
  <si>
    <t>"Herstellung von Wellpapier und -pappe sowie von Verpackungsmitteln aus Papier, Karton und Pappe"</t>
  </si>
  <si>
    <t>"17.21.0"</t>
  </si>
  <si>
    <t>"Herstellung von Haushalts-, Hygiene- und Toilettenartikeln aus Zellstoff, Papier und Pappe"</t>
  </si>
  <si>
    <t>"17.22.0"</t>
  </si>
  <si>
    <t>"Herstellung von Schreibwaren und Bürobedarf aus Papier, Karton und Pappe"</t>
  </si>
  <si>
    <t>"17.23.0"</t>
  </si>
  <si>
    <t>"Herstellung von Tapeten"</t>
  </si>
  <si>
    <t>"17.24.0"</t>
  </si>
  <si>
    <t>"Herstellung von sonstigen Waren aus Papier, Karton und Pappe"</t>
  </si>
  <si>
    <t>"17.29.0"</t>
  </si>
  <si>
    <t>"Herstellung von Druckerzeugnissen; Vervielfältigung von bespielten Ton-, Bild- und Datenträgern"</t>
  </si>
  <si>
    <t>"Herstellung von Druckerzeugnissen"</t>
  </si>
  <si>
    <t>"Drucken von Zeitungen"</t>
  </si>
  <si>
    <t>"18.11.0"</t>
  </si>
  <si>
    <t>"Drucken anderweitig nicht genannt"</t>
  </si>
  <si>
    <t>"18.12.0"</t>
  </si>
  <si>
    <t>"Druck- und Medienvorstufe"</t>
  </si>
  <si>
    <t>"18.13.0"</t>
  </si>
  <si>
    <t>"Binden von Druckerzeugnissen und damit verbundene Dienstleistungen"</t>
  </si>
  <si>
    <t>"18.14.0"</t>
  </si>
  <si>
    <t>"Vervielfältigung von bespielten Ton-, Bild- und Datenträgern"</t>
  </si>
  <si>
    <t>"18.20.0"</t>
  </si>
  <si>
    <t>"Kokerei und Mineralölverarbeitung"</t>
  </si>
  <si>
    <t>"Kokerei"</t>
  </si>
  <si>
    <t>"19.10.0"</t>
  </si>
  <si>
    <t>"Mineralölverarbeitung"</t>
  </si>
  <si>
    <t>"19.20.0"</t>
  </si>
  <si>
    <t>"Herstellung von chemischen Erzeugnissen"</t>
  </si>
  <si>
    <t>"Herstellung von chemischen Grundstoffen, Düngemitteln und Stickstoffverbindungen, Kunststoffen in Primärformen und synthetischem Kautschuk in Primärformen"</t>
  </si>
  <si>
    <t>"Herstellung von Industriegasen"</t>
  </si>
  <si>
    <t>"20.11.0"</t>
  </si>
  <si>
    <t>"Herstellung von Farbstoffen und Pigmenten"</t>
  </si>
  <si>
    <t>"20.12.0"</t>
  </si>
  <si>
    <t>"Herstellung von sonstigen anorganischen Grundstoffen und Chemikalien"</t>
  </si>
  <si>
    <t>"20.13.0"</t>
  </si>
  <si>
    <t>"Herstellung von sonstigen organischen Grundstoffen und Chemikalien"</t>
  </si>
  <si>
    <t>"20.14.0"</t>
  </si>
  <si>
    <t>"Herstellung von Düngemitteln und Stickstoffverbindungen"</t>
  </si>
  <si>
    <t>"20.15.0"</t>
  </si>
  <si>
    <t>"Herstellung von Kunststoffen in Primärformen"</t>
  </si>
  <si>
    <t>"20.16.0"</t>
  </si>
  <si>
    <t>"Herstellung von synthetischem Kautschuk in Primärformen"</t>
  </si>
  <si>
    <t>"20.17.0"</t>
  </si>
  <si>
    <t>"Herstellung von Schädlingsbekämpfungs-, Pflanzenschutz- und Desinfektionsmitteln"</t>
  </si>
  <si>
    <t>"20.20.0"</t>
  </si>
  <si>
    <t>"Herstellung von Anstrichmitteln, Druckfarben und Kitten"</t>
  </si>
  <si>
    <t>"20.30.0"</t>
  </si>
  <si>
    <t>"Herstellung von Seifen, Wasch-, Reinigungs- und Körperpflegemitteln sowie von Duftstoffen"</t>
  </si>
  <si>
    <t>"Herstellung von Seifen, Wasch-, Reinigungs- und Poliermitteln"</t>
  </si>
  <si>
    <t>"20.41.0"</t>
  </si>
  <si>
    <t>"Herstellung von Körperpflegemitteln und Duftstoffen"</t>
  </si>
  <si>
    <t>"20.42.0"</t>
  </si>
  <si>
    <t>"Herstellung von sonstigen chemischen Erzeugnissen"</t>
  </si>
  <si>
    <t>"Herstellung von pyrotechnischen Erzeugnissen"</t>
  </si>
  <si>
    <t>"20.51.0"</t>
  </si>
  <si>
    <t>"Herstellung von Klebstoffen"</t>
  </si>
  <si>
    <t>"20.52.0"</t>
  </si>
  <si>
    <t>"Herstellung von etherischen Ölen"</t>
  </si>
  <si>
    <t>"20.53.0"</t>
  </si>
  <si>
    <t>"Herstellung von sonstigen chemischen Erzeugnissen anderweitig nicht genannt"</t>
  </si>
  <si>
    <t>"20.59.0"</t>
  </si>
  <si>
    <t>"Herstellung von Chemiefasern"</t>
  </si>
  <si>
    <t>"20.60.0"</t>
  </si>
  <si>
    <t>"Herstellung von pharmazeutischen Erzeugnissen"</t>
  </si>
  <si>
    <t>"Herstellung von pharmazeutischen Grundstoffen"</t>
  </si>
  <si>
    <t>"21.10.0"</t>
  </si>
  <si>
    <t>"Herstellung von pharmazeutischen Spezialitäten und sonstigen pharmazeutischen Erzeugnissen"</t>
  </si>
  <si>
    <t>"21.20.0"</t>
  </si>
  <si>
    <t>"Herstellung von Gummi- und Kunststoffwaren"</t>
  </si>
  <si>
    <t>"Herstellung von Gummiwaren"</t>
  </si>
  <si>
    <t>"Herstellung und Runderneuerung von Bereifungen"</t>
  </si>
  <si>
    <t>"22.11.0"</t>
  </si>
  <si>
    <t>"Herstellung von sonstigen Gummiwaren"</t>
  </si>
  <si>
    <t>"22.19.0"</t>
  </si>
  <si>
    <t>"Herstellung von Kunststoffwaren"</t>
  </si>
  <si>
    <t>"Herstellung von Platten, Folien, Schläuchen und Profilen aus Kunststoffen"</t>
  </si>
  <si>
    <t>"22.21.0"</t>
  </si>
  <si>
    <t>"Herstellung von Verpackungsmitteln aus Kunststoffen"</t>
  </si>
  <si>
    <t>"22.22.0"</t>
  </si>
  <si>
    <t>"Herstellung von Baubedarfsartikeln aus Kunststoffen"</t>
  </si>
  <si>
    <t>"22.23.0"</t>
  </si>
  <si>
    <t>"Herstellung von sonstigen Kunststoffwaren"</t>
  </si>
  <si>
    <t>"22.29.0"</t>
  </si>
  <si>
    <t>"Herstellung von Glas und Glaswaren, Keramik, Verarbeitung von Steinen und Erden"</t>
  </si>
  <si>
    <t>"Herstellung von Glas und Glaswaren"</t>
  </si>
  <si>
    <t>"Herstellung von Flachglas"</t>
  </si>
  <si>
    <t>"23.11.0"</t>
  </si>
  <si>
    <t>"Veredlung und Bearbeitung von Flachglas"</t>
  </si>
  <si>
    <t>"23.12.0"</t>
  </si>
  <si>
    <t>"Herstellung von Hohlglas"</t>
  </si>
  <si>
    <t>"23.13.0"</t>
  </si>
  <si>
    <t>"Herstellung von Glasfasern und Waren daraus"</t>
  </si>
  <si>
    <t>"23.14.0"</t>
  </si>
  <si>
    <t>"Herstellung, Veredlung und Bearbeitung von sonstigem Glas einschließlich technischen Glaswaren"</t>
  </si>
  <si>
    <t>"23.19.0"</t>
  </si>
  <si>
    <t>"Herstellung von feuerfesten keramischen Werkstoffen und Waren"</t>
  </si>
  <si>
    <t>"23.20.0"</t>
  </si>
  <si>
    <t>"Herstellung von keramischen Baumaterialien"</t>
  </si>
  <si>
    <t>"Herstellung von keramischen Wand- und Bodenfliesen und -platten"</t>
  </si>
  <si>
    <t>"23.31.0"</t>
  </si>
  <si>
    <t>"Herstellung von Ziegeln und sonstiger Baukeramik"</t>
  </si>
  <si>
    <t>"23.32.0"</t>
  </si>
  <si>
    <t>"Herstellung von sonstigen Porzellan- und keramischen Erzeugnissen"</t>
  </si>
  <si>
    <t>"Herstellung von keramischen Haushaltswaren und Ziergegenständen"</t>
  </si>
  <si>
    <t>"23.41.0"</t>
  </si>
  <si>
    <t>"Herstellung von Sanitärkeramik"</t>
  </si>
  <si>
    <t>"23.42.0"</t>
  </si>
  <si>
    <t>"Herstellung von Isolatoren und Isolierteilen aus Keramik"</t>
  </si>
  <si>
    <t>"23.43.0"</t>
  </si>
  <si>
    <t>"Herstellung von keramischen Erzeugnissen für sonstige technische Zwecke"</t>
  </si>
  <si>
    <t>"23.44.0"</t>
  </si>
  <si>
    <t>"Herstellung von sonstigen keramischen Erzeugnissen"</t>
  </si>
  <si>
    <t>"23.49.0"</t>
  </si>
  <si>
    <t>"Herstellung von Zement, Kalk und gebranntem Gips"</t>
  </si>
  <si>
    <t>"Herstellung von Zement"</t>
  </si>
  <si>
    <t>"23.51.0"</t>
  </si>
  <si>
    <t>"Herstellung von Kalk und gebranntem Gips"</t>
  </si>
  <si>
    <t>"23.52.0"</t>
  </si>
  <si>
    <t>"Herstellung von Erzeugnissen aus Beton, Zement und Gips"</t>
  </si>
  <si>
    <t>"Herstellung von Erzeugnissen aus Beton, Zement und Kalksandstein für den Bau"</t>
  </si>
  <si>
    <t>"23.61.0"</t>
  </si>
  <si>
    <t>"Herstellung von Gipserzeugnissen für den Bau"</t>
  </si>
  <si>
    <t>"23.62.0"</t>
  </si>
  <si>
    <t>"Herstellung von Frischbeton (Transportbeton)"</t>
  </si>
  <si>
    <t>"23.63.0"</t>
  </si>
  <si>
    <t>"Herstellung von Mörtel und anderem Beton (Trockenbeton)"</t>
  </si>
  <si>
    <t>"23.64.0"</t>
  </si>
  <si>
    <t>"Herstellung von Faserzementwaren"</t>
  </si>
  <si>
    <t>"23.65.0"</t>
  </si>
  <si>
    <t>"Herstellung von sonstigen Erzeugnissen aus Beton, Zement und Gips anderweitig nicht genannt"</t>
  </si>
  <si>
    <t>"23.69.0"</t>
  </si>
  <si>
    <t>"Be- und Verarbeitung von Naturwerksteinen und Natursteinen anderweitig nicht genannt"</t>
  </si>
  <si>
    <t>"23.70.0"</t>
  </si>
  <si>
    <t>"Herstellung von Schleifkörpern und Schleifmitteln auf Unterlage sowie sonstigen Erzeugnissen aus nichtmetallischen Mineralien anderweitig nicht genannt"</t>
  </si>
  <si>
    <t>"Herstellung von Schleifkörpern und Schleifmitteln auf Unterlage"</t>
  </si>
  <si>
    <t>"23.91.0"</t>
  </si>
  <si>
    <t>"Herstellung von sonstigen Erzeugnissen aus nichtmetallischen Mineralien anderweitig nicht genannt"</t>
  </si>
  <si>
    <t>"23.99.0"</t>
  </si>
  <si>
    <t>"Metallerzeugung und -bearbeitung"</t>
  </si>
  <si>
    <t>"Erzeugung von Roheisen, Stahl und Ferrolegierungen"</t>
  </si>
  <si>
    <t>"24.10.0"</t>
  </si>
  <si>
    <t>"Herstellung von Stahlrohren, Rohrform-, Rohrverschluss- und Rohrverbindungsstücken aus Stahl"</t>
  </si>
  <si>
    <t>"24.20.1"</t>
  </si>
  <si>
    <t>"Herstellung von Stahlrohren (ohne Präzisionsstahlrohre)"</t>
  </si>
  <si>
    <t>"24.20.2"</t>
  </si>
  <si>
    <t>"Herstellung von Präzisionsstahlrohren"</t>
  </si>
  <si>
    <t>"24.20.3"</t>
  </si>
  <si>
    <t>"Herstellung von Rohrform-, Rohrverschluss- und Rohrverbindungsstücken aus Stahl"</t>
  </si>
  <si>
    <t>"Sonstige erste Bearbeitung von Eisen und Stahl"</t>
  </si>
  <si>
    <t>"Herstellung von Blankstahl"</t>
  </si>
  <si>
    <t>"24.31.0"</t>
  </si>
  <si>
    <t>"Herstellung von Kaltband mit einer Breite von weniger als 600 mm"</t>
  </si>
  <si>
    <t>"24.32.0"</t>
  </si>
  <si>
    <t>"Herstellung von Kaltprofilen"</t>
  </si>
  <si>
    <t>"24.33.0"</t>
  </si>
  <si>
    <t>"Herstellung von kaltgezogenem Draht"</t>
  </si>
  <si>
    <t>"24.34.0"</t>
  </si>
  <si>
    <t>"Erzeugung und erste Bearbeitung von NE-Metallen"</t>
  </si>
  <si>
    <t>"Erzeugung und erste Bearbeitung von Edelmetallen"</t>
  </si>
  <si>
    <t>"24.41.0"</t>
  </si>
  <si>
    <t>"Erzeugung und erste Bearbeitung von Aluminium"</t>
  </si>
  <si>
    <t>"24.42.0"</t>
  </si>
  <si>
    <t>"Erzeugung und erste Bearbeitung von Blei, Zink und Zinn"</t>
  </si>
  <si>
    <t>"24.43.0"</t>
  </si>
  <si>
    <t>"Erzeugung und erste Bearbeitung von Kupfer"</t>
  </si>
  <si>
    <t>"24.44.0"</t>
  </si>
  <si>
    <t>"Erzeugung und erste Bearbeitung von sonstigen NE-Metallen"</t>
  </si>
  <si>
    <t>"24.45.0"</t>
  </si>
  <si>
    <t>"Aufbereitung von Kernbrennstoffen"</t>
  </si>
  <si>
    <t>"24.46.0"</t>
  </si>
  <si>
    <t>"Gießereien"</t>
  </si>
  <si>
    <t>"Eisengießereien"</t>
  </si>
  <si>
    <t>"24.51.0"</t>
  </si>
  <si>
    <t>"Stahlgießereien"</t>
  </si>
  <si>
    <t>"24.52.0"</t>
  </si>
  <si>
    <t>"Leichtmetallgießereien"</t>
  </si>
  <si>
    <t>"24.53.0"</t>
  </si>
  <si>
    <t>"Buntmetallgießereien"</t>
  </si>
  <si>
    <t>"24.54.0"</t>
  </si>
  <si>
    <t>"Herstellung von Metallerzeugnissen"</t>
  </si>
  <si>
    <t>"Stahl- und Leichtmetallbau"</t>
  </si>
  <si>
    <t>"Herstellung von Metallkonstruktionen"</t>
  </si>
  <si>
    <t>"25.11.0"</t>
  </si>
  <si>
    <t>"Herstellung von Ausbauelementen aus Metall"</t>
  </si>
  <si>
    <t>"25.12.0"</t>
  </si>
  <si>
    <t>"Herstellung von Metalltanks und -behältern; Herstellung von Heizkörpern und -kesseln für Zentralheizungen"</t>
  </si>
  <si>
    <t>"Herstellung von Heizkörpern und -kesseln für Zentralheizungen"</t>
  </si>
  <si>
    <t>"25.21.0"</t>
  </si>
  <si>
    <t>"Herstellung von Sammelbehältern, Tanks u. ä. Behältern aus Metall"</t>
  </si>
  <si>
    <t>"25.29.0"</t>
  </si>
  <si>
    <t>"Herstellung von Dampfkesseln (ohne Zentralheizungskessel)"</t>
  </si>
  <si>
    <t>"25.30.0"</t>
  </si>
  <si>
    <t>"Herstellung von Waffen und Munition"</t>
  </si>
  <si>
    <t>"25.40.0"</t>
  </si>
  <si>
    <t>"Herstellung von Schmiede-, Press-, Zieh- und Stanzteilen, gewalzten Ringen und pulvermetallurgischen Erzeugnissen"</t>
  </si>
  <si>
    <t>"25.50.1"</t>
  </si>
  <si>
    <t>"Herstellung von Freiformschmiedestücken"</t>
  </si>
  <si>
    <t>"25.50.2"</t>
  </si>
  <si>
    <t>"Herstellung von Gesenkschmiedeteilen"</t>
  </si>
  <si>
    <t>"25.50.3"</t>
  </si>
  <si>
    <t>"Herstellung von Kaltfließpressteilen"</t>
  </si>
  <si>
    <t>"25.50.4"</t>
  </si>
  <si>
    <t>"Herstellung von Press-, Zieh- und Stanzteilen"</t>
  </si>
  <si>
    <t>"25.50.5"</t>
  </si>
  <si>
    <t>"Herstellung von pulvermetallurgischen Erzeugnissen"</t>
  </si>
  <si>
    <t>"Oberflächenveredlung und Wärmebehandlung; Mechanik anderweitig nicht genannt"</t>
  </si>
  <si>
    <t>"Oberflächenveredlung und Wärmebehandlung"</t>
  </si>
  <si>
    <t>"25.61.0"</t>
  </si>
  <si>
    <t>"Mechanik anderweitig nicht genannt"</t>
  </si>
  <si>
    <t>"25.62.0"</t>
  </si>
  <si>
    <t>"Herstellung von Schneidwaren, Werkzeugen, Schlössern und Beschlägen aus unedlen Metallen"</t>
  </si>
  <si>
    <t>"Herstellung von Schneidwaren und Bestecken aus unedlen Metallen"</t>
  </si>
  <si>
    <t>"25.71.0"</t>
  </si>
  <si>
    <t>"Herstellung von Schlössern und Beschlägen aus unedlen Metallen"</t>
  </si>
  <si>
    <t>"25.72.0"</t>
  </si>
  <si>
    <t>"Herstellung von Werkzeugen"</t>
  </si>
  <si>
    <t>"25.73.1"</t>
  </si>
  <si>
    <t>"Herstellung von Handwerkzeugen"</t>
  </si>
  <si>
    <t>"25.73.2"</t>
  </si>
  <si>
    <t>"Herstellung von Sägen und von Maschinenwerkzeugen für die Holzbearbeitung"</t>
  </si>
  <si>
    <t>"25.73.3"</t>
  </si>
  <si>
    <t>"Herstellung von auswechselbaren Werkzeugen für die Metallbearbeitung anderweitig nicht genannt"</t>
  </si>
  <si>
    <t>"25.73.4"</t>
  </si>
  <si>
    <t>"Herstellung von Geräten für die Landwirtschaft"</t>
  </si>
  <si>
    <t>"25.73.5"</t>
  </si>
  <si>
    <t>"Herstellung von sonstigen Werkzeugen"</t>
  </si>
  <si>
    <t>"Herstellung von sonstigen Metallwaren"</t>
  </si>
  <si>
    <t>"Herstellung von Fässern, Trommeln, Dosen, Eimern u. ä. Behältern aus Metall"</t>
  </si>
  <si>
    <t>"25.91.0"</t>
  </si>
  <si>
    <t>"Herstellung von Verpackungen und Verschlüssen aus Eisen, Stahl und NE-Metall"</t>
  </si>
  <si>
    <t>"25.92.0"</t>
  </si>
  <si>
    <t>"Herstellung von Drahtwaren, Ketten und Federn"</t>
  </si>
  <si>
    <t>"25.93.0"</t>
  </si>
  <si>
    <t>"Herstellung von Schrauben und Nieten"</t>
  </si>
  <si>
    <t>"25.94.0"</t>
  </si>
  <si>
    <t>"Herstellung von sonstigen Metallwaren anderweitig nicht genannt"</t>
  </si>
  <si>
    <t>"25.99.1"</t>
  </si>
  <si>
    <t>"Herstellung von nicht elektrischen Haushaltsartikeln aus Metall"</t>
  </si>
  <si>
    <t>"25.99.2"</t>
  </si>
  <si>
    <t>"Herstellung von Panzerschränken und Tresoranlagen"</t>
  </si>
  <si>
    <t>"25.99.3"</t>
  </si>
  <si>
    <t>"Herstellung von Metallwaren anderweitig nicht genannt"</t>
  </si>
  <si>
    <t>"Herstellung von Datenverarbeitungsgeräten, elektronischen und optischen Erzeugnissen"</t>
  </si>
  <si>
    <t>"Herstellung von elektronischen Bauelementen und Leiterplatten"</t>
  </si>
  <si>
    <t>"Herstellung von elektronischen Bauelementen"</t>
  </si>
  <si>
    <t>"26.11.1"</t>
  </si>
  <si>
    <t>"Herstellung von Solarzellen und Solarmodulen"</t>
  </si>
  <si>
    <t>"26.11.9"</t>
  </si>
  <si>
    <t>"Herstellung von sonstigen elektronischen Bauelementen"</t>
  </si>
  <si>
    <t>"Herstellung von bestückten Leiterplatten"</t>
  </si>
  <si>
    <t>"26.12.0"</t>
  </si>
  <si>
    <t>"Herstellung von Datenverarbeitungsgeräten und peripheren Geräten"</t>
  </si>
  <si>
    <t>"26.20.0"</t>
  </si>
  <si>
    <t>"Herstellung von Geräten und Einrichtungen der Telekommunikationstechnik"</t>
  </si>
  <si>
    <t>"26.30.0"</t>
  </si>
  <si>
    <t>"Herstellung von Geräten der Unterhaltungselektronik"</t>
  </si>
  <si>
    <t>"26.40.0"</t>
  </si>
  <si>
    <t>"Herstellung von Mess-, Kontroll-, Navigations- u. ä. Instrumenten und Vorrichtungen; Herstellung von Uhren"</t>
  </si>
  <si>
    <t>"Herstellung von Mess-, Kontroll-, Navigations- u. ä. Instrumenten und Vorrichtungen"</t>
  </si>
  <si>
    <t>"26.51.1"</t>
  </si>
  <si>
    <t>"Herstellung von elektrischen Mess-, Kontroll-, Navigations- u. ä. Instrumenten und Vorrichtungen"</t>
  </si>
  <si>
    <t>"26.51.2"</t>
  </si>
  <si>
    <t>"Herstellung von nicht elektrischen Mess-, Kontroll-, Navigations- u. ä. Instrumenten und Vorrichtungen"</t>
  </si>
  <si>
    <t>"26.51.3"</t>
  </si>
  <si>
    <t>"Herstellung von Prüfmaschinen"</t>
  </si>
  <si>
    <t>"Herstellung von Uhren"</t>
  </si>
  <si>
    <t>"26.52.0"</t>
  </si>
  <si>
    <t>"Herstellung von Bestrahlungs- und Elektrotherapiegeräten und elektromedizinischen Geräten"</t>
  </si>
  <si>
    <t>"26.60.0"</t>
  </si>
  <si>
    <t>"Herstellung von optischen und fotografischen Instrumenten und Geräten"</t>
  </si>
  <si>
    <t>"26.70.0"</t>
  </si>
  <si>
    <t>"Herstellung von magnetischen und optischen Datenträgern"</t>
  </si>
  <si>
    <t>"26.80.0"</t>
  </si>
  <si>
    <t>"Herstellung von elektrischen Ausrüstungen"</t>
  </si>
  <si>
    <t>"Herstellung von Elektromotoren, Generatoren, Transformatoren, Elektrizitätsverteilungs- und schalteinrichtungen"</t>
  </si>
  <si>
    <t>"Herstellung von Elektromotoren, Generatoren und Transformatoren"</t>
  </si>
  <si>
    <t>"27.11.0"</t>
  </si>
  <si>
    <t>"Herstellung von Elektrizitätsverteilungs- und -schalteinrichtungen"</t>
  </si>
  <si>
    <t>"27.12.0"</t>
  </si>
  <si>
    <t>"Herstellung von Batterien und Akkumulatoren"</t>
  </si>
  <si>
    <t>"27.20.0"</t>
  </si>
  <si>
    <t>"Herstellung von Kabeln und elektrischem Installationsmaterial"</t>
  </si>
  <si>
    <t>"Herstellung von Glasfaserkabeln"</t>
  </si>
  <si>
    <t>"27.31.0"</t>
  </si>
  <si>
    <t>"Herstellung von sonstigen elektronischen und elektrischen Drähten und Kabeln"</t>
  </si>
  <si>
    <t>"27.32.0"</t>
  </si>
  <si>
    <t>"Herstellung von elektrischem Installationsmaterial"</t>
  </si>
  <si>
    <t>"27.33.0"</t>
  </si>
  <si>
    <t>"Herstellung von elektrischen Lampen und Leuchten"</t>
  </si>
  <si>
    <t>"27.40.0"</t>
  </si>
  <si>
    <t>"Herstellung von Haushaltsgeräten"</t>
  </si>
  <si>
    <t>"Herstellung von elektrischen Haushaltsgeräten"</t>
  </si>
  <si>
    <t>"27.51.0"</t>
  </si>
  <si>
    <t>"Herstellung von nicht elektrischen Haushaltsgeräten"</t>
  </si>
  <si>
    <t>"27.52.0"</t>
  </si>
  <si>
    <t>"Herstellung von nichtelektrischen Haushaltsgeräten"</t>
  </si>
  <si>
    <t>"Herstellung von sonstigen elektrischen Ausrüstungen und Geräten anderweitig nicht genannt"</t>
  </si>
  <si>
    <t>"27.90.0"</t>
  </si>
  <si>
    <t>"Maschinenbau"</t>
  </si>
  <si>
    <t>"Herstellung von nicht wirtschaftszweigspezifischen Maschinen"</t>
  </si>
  <si>
    <t>"Herstellung von Verbrennungsmotoren und Turbinen (ohne Motoren für Luft- und Straßenfahrzeuge)"</t>
  </si>
  <si>
    <t>"28.11.0"</t>
  </si>
  <si>
    <t>"Herstellung von hydraulischen und pneumatischen Komponenten und Systemen"</t>
  </si>
  <si>
    <t>"28.12.0"</t>
  </si>
  <si>
    <t>"Herstellung von Pumpen und Kompressoren anderweitig nicht genannt"</t>
  </si>
  <si>
    <t>"28.13.0"</t>
  </si>
  <si>
    <t>"Herstellung von Armaturen a. n. g"</t>
  </si>
  <si>
    <t>"28.14.0"</t>
  </si>
  <si>
    <t>"Herstellung von Armaturen anderweitig nicht genannt"</t>
  </si>
  <si>
    <t>"Herstellung von Lagern, Getrieben, Zahnrädern und Antriebselementen"</t>
  </si>
  <si>
    <t>"28.15.0"</t>
  </si>
  <si>
    <t>"Herstellung von sonstigen nicht wirtschaftszweigspezifischen Maschinen"</t>
  </si>
  <si>
    <t>"Herstellung von Öfen und Brennern"</t>
  </si>
  <si>
    <t>"28.21.1"</t>
  </si>
  <si>
    <t>"Herstellung von Solarwärmekollektoren"</t>
  </si>
  <si>
    <t>"28.21.9"</t>
  </si>
  <si>
    <t>"Herstellung von sonstigen Öfen und Brennern"</t>
  </si>
  <si>
    <t>"Herstellung von Hebezeugen und Fördermitteln"</t>
  </si>
  <si>
    <t>"28.22.0"</t>
  </si>
  <si>
    <t>"Herstellung von Büromaschinen (ohne Datenverarbeitungsgeräte und periphere Geräte)"</t>
  </si>
  <si>
    <t>"28.23.0"</t>
  </si>
  <si>
    <t>"Herstellung von handgeführten Werkzeugen mit Motorantrieb"</t>
  </si>
  <si>
    <t>"28.24.0"</t>
  </si>
  <si>
    <t>"Herstellung von kälte- und lufttechnischen Erzeugnissen, nicht für den Haushalt"</t>
  </si>
  <si>
    <t>"28.25.0"</t>
  </si>
  <si>
    <t>"Herstellung von sonstigen nicht wirtschaftszweigspezifischen Maschinen anderweitig nicht genannt"</t>
  </si>
  <si>
    <t>"28.29.0"</t>
  </si>
  <si>
    <t>"Herstellung von land- und forstwirtschaftlichen Maschinen"</t>
  </si>
  <si>
    <t>"28.30.0"</t>
  </si>
  <si>
    <t>"Herstellung von Werkzeugmaschinen"</t>
  </si>
  <si>
    <t>"Herstellung von Werkzeugmaschinen für die Metallbearbeitung"</t>
  </si>
  <si>
    <t>"28.41.0"</t>
  </si>
  <si>
    <t>"Herstellung von sonstigen Werkzeugmaschinen"</t>
  </si>
  <si>
    <t>"28.49.1"</t>
  </si>
  <si>
    <t>"Herstellung von Werkzeugmaschinen zur Bearbeitung von Steinen, Beton und sonstigen mineralischen Stoffen"</t>
  </si>
  <si>
    <t>"28.49.2"</t>
  </si>
  <si>
    <t>"Herstellung von Werkzeugmaschinen zur Bearbeitung von sonstigen harten Stoffen"</t>
  </si>
  <si>
    <t>"28.49.3"</t>
  </si>
  <si>
    <t>"Herstellung von Maschinenspannzeugen und sonstigem Zubehör für Werkzeugmaschinen"</t>
  </si>
  <si>
    <t>"28.49.9"</t>
  </si>
  <si>
    <t>"Herstellung von sonstigen Werkzeugmaschinen anderweitig nicht genannt"</t>
  </si>
  <si>
    <t>"Herstellung von Maschinen für sonstige bestimmte Wirtschaftszweige"</t>
  </si>
  <si>
    <t>"Herstellung von Maschinen für die Metallerzeugung, von Walzwerkseinrichtungen und Gießmaschinen"</t>
  </si>
  <si>
    <t>"28.91.0"</t>
  </si>
  <si>
    <t>"Herstellung von Bergwerks-, Bau- und Baustoffmaschinen"</t>
  </si>
  <si>
    <t>"28.92.1"</t>
  </si>
  <si>
    <t>"Herstellung von Bergwerksmaschinen"</t>
  </si>
  <si>
    <t>"28.92.2"</t>
  </si>
  <si>
    <t>"Herstellung von Bau- und Baustoffmaschinen"</t>
  </si>
  <si>
    <t>"Herstellung von Maschinen für die Nahrungs- und Genussmittelerzeugung und die Tabakverarbeitung"</t>
  </si>
  <si>
    <t>"28.93.0"</t>
  </si>
  <si>
    <t>"Herstellung von Maschinen für die Textil- und Bekleidungsherstellung und die Lederverarbeitung"</t>
  </si>
  <si>
    <t>"28.94.0"</t>
  </si>
  <si>
    <t>"Herstellung von Maschinen für die Papiererzeugung und -verarbeitung"</t>
  </si>
  <si>
    <t>"28.95.0"</t>
  </si>
  <si>
    <t>"Herstellung von Maschinen für die Verarbeitung von Kunststoffen und Kautschuk"</t>
  </si>
  <si>
    <t>"28.96.0"</t>
  </si>
  <si>
    <t>"Herstellung von Maschinen für sonstige bestimmte Wirtschaftszweige anderweitig nicht genannt"</t>
  </si>
  <si>
    <t>"28.99.0"</t>
  </si>
  <si>
    <t>"Herstellung von Kraftwagen und Kraftwagenteilen"</t>
  </si>
  <si>
    <t>"Herstellung von Kraftwagen und Kraftwagenmotoren"</t>
  </si>
  <si>
    <t>"29.10.1"</t>
  </si>
  <si>
    <t>"Herstellung von Personenkraftwagen und Personenkraftwagenmotoren"</t>
  </si>
  <si>
    <t>"29.10.2"</t>
  </si>
  <si>
    <t>"Herstellung von Nutzkraftwagen und Nutzkraftwagenmotoren"</t>
  </si>
  <si>
    <t>"Herstellung von Karosserien, Aufbauten und Anhängern"</t>
  </si>
  <si>
    <t>"29.20.0"</t>
  </si>
  <si>
    <t>"Herstellung von Teilen und Zubehör für Kraftwagen"</t>
  </si>
  <si>
    <t>"Herstellung elektrischer und elektronischer Ausrüstungsgegenstände für Kraftwagen"</t>
  </si>
  <si>
    <t>"29.31.0"</t>
  </si>
  <si>
    <t>"Herstellung von sonstigen Teilen und sonstigem Zubehör für Kraftwagen"</t>
  </si>
  <si>
    <t>"29.32.0"</t>
  </si>
  <si>
    <t>"Sonstiger Fahrzeugbau"</t>
  </si>
  <si>
    <t>"Schiff- und Bootsbau"</t>
  </si>
  <si>
    <t>"Schiffbau (ohne Boots- und Yachtbau)"</t>
  </si>
  <si>
    <t>"30.11.0"</t>
  </si>
  <si>
    <t>"Boots- und Yachtbau"</t>
  </si>
  <si>
    <t>"30.12.0"</t>
  </si>
  <si>
    <t>"Schienenfahrzeugbau"</t>
  </si>
  <si>
    <t>"30.20.1"</t>
  </si>
  <si>
    <t>"Herstellung von Lokomotiven und anderen Schienenfahrzeugen"</t>
  </si>
  <si>
    <t>"30.20.2"</t>
  </si>
  <si>
    <t>"Herstellung von Eisenbahninfrastruktur"</t>
  </si>
  <si>
    <t>"Luft- und Raumfahrzeugbau"</t>
  </si>
  <si>
    <t>"30.30.0"</t>
  </si>
  <si>
    <t>"Herstellung von militärischen Kampffahrzeugen"</t>
  </si>
  <si>
    <t>"30.40.0"</t>
  </si>
  <si>
    <t>"Herstellung von Fahrzeugen anderweitig nicht genannt"</t>
  </si>
  <si>
    <t>"Herstellung von Krafträdern"</t>
  </si>
  <si>
    <t>"30.91.0"</t>
  </si>
  <si>
    <t>"Herstellung von Fahrrädern sowie von Behindertenfahrzeugen"</t>
  </si>
  <si>
    <t>"30.92.0"</t>
  </si>
  <si>
    <t>"Herstellung von sonstigen Fahrzeugen anderweitig nicht genannt"</t>
  </si>
  <si>
    <t>"30.99.0"</t>
  </si>
  <si>
    <t>"Herstellung von Möbeln"</t>
  </si>
  <si>
    <t>"Herstellung von Büro- und Ladenmöbeln"</t>
  </si>
  <si>
    <t>"31.01.1"</t>
  </si>
  <si>
    <t>"Herstellung von Büromöbeln"</t>
  </si>
  <si>
    <t>"31.01.2"</t>
  </si>
  <si>
    <t>"Herstellung von Ladenmöbeln und sonstigen Objektmöbeln"</t>
  </si>
  <si>
    <t>"Herstellung von Küchenmöbeln"</t>
  </si>
  <si>
    <t>"31.02.0"</t>
  </si>
  <si>
    <t>"Herstellung von Matratzen"</t>
  </si>
  <si>
    <t>"31.03.0"</t>
  </si>
  <si>
    <t>"Herstellung von sonstigen Möbeln"</t>
  </si>
  <si>
    <t>"31.09.1"</t>
  </si>
  <si>
    <t>"Herstellung von Polstermöbeln"</t>
  </si>
  <si>
    <t>"31.09.9"</t>
  </si>
  <si>
    <t>"Herstellung von sonstigen Möbeln anderweitig nicht genannt"</t>
  </si>
  <si>
    <t>"Herstellung von sonstigen Waren"</t>
  </si>
  <si>
    <t>"Herstellung von Münzen, Schmuck und ähnlichen Erzeugnissen"</t>
  </si>
  <si>
    <t>"Herstellung von Münzen"</t>
  </si>
  <si>
    <t>"32.11.0"</t>
  </si>
  <si>
    <t>"Herstellung von Schmuck, Gold- und Silberschmiedewaren (ohne Fantasieschmuck)"</t>
  </si>
  <si>
    <t>"32.12.0"</t>
  </si>
  <si>
    <t>"Herstellung von Fantasieschmuck"</t>
  </si>
  <si>
    <t>"32.13.0"</t>
  </si>
  <si>
    <t>"Herstellung von Musikinstrumenten"</t>
  </si>
  <si>
    <t>"32.20.0"</t>
  </si>
  <si>
    <t>"Herstellung von Sportgeräten"</t>
  </si>
  <si>
    <t>"32.30.0"</t>
  </si>
  <si>
    <t>"Herstellung von Spielwaren"</t>
  </si>
  <si>
    <t>"32.40.0"</t>
  </si>
  <si>
    <t>"Herstellung von medizinischen und zahnmedizinischen Apparaten und Materialien"</t>
  </si>
  <si>
    <t>"32.50.1"</t>
  </si>
  <si>
    <t>"Herstellung von medizintechnischen Apparaten und Materialien anderweitig nicht genannt"</t>
  </si>
  <si>
    <t>"32.50.2"</t>
  </si>
  <si>
    <t>"Herstellung von orthopädischen Erzeugnissen"</t>
  </si>
  <si>
    <t>"32.50.3"</t>
  </si>
  <si>
    <t>"Zahntechnische Laboratorien"</t>
  </si>
  <si>
    <t>"Herstellung von Erzeugnissen anderweitig nicht genannt"</t>
  </si>
  <si>
    <t>"Herstellung von Besen und Bürsten"</t>
  </si>
  <si>
    <t>"32.91.0"</t>
  </si>
  <si>
    <t>"Herstellung von sonstigen Erzeugnissen anderweitig nicht genannt"</t>
  </si>
  <si>
    <t>"32.99.0"</t>
  </si>
  <si>
    <t>"Reparatur und Installation von Maschinen und Ausrüstungen"</t>
  </si>
  <si>
    <t>"Reparatur von Metallerzeugnissen, Maschinen und Ausrüstungen"</t>
  </si>
  <si>
    <t>"Reparatur von Metallerzeugnissen"</t>
  </si>
  <si>
    <t>"33.11.0"</t>
  </si>
  <si>
    <t>"Reparatur von Maschinen"</t>
  </si>
  <si>
    <t>"33.12.0"</t>
  </si>
  <si>
    <t>"Reparatur von elektronischen und optischen Geräten"</t>
  </si>
  <si>
    <t>"33.13.0"</t>
  </si>
  <si>
    <t>"Reparatur von elektrischen Ausrüstungen"</t>
  </si>
  <si>
    <t>"33.14.0"</t>
  </si>
  <si>
    <t>"Reparatur und Instandhaltung von Schiffen, Booten und Yachten"</t>
  </si>
  <si>
    <t>"33.15.0"</t>
  </si>
  <si>
    <t>"Reparatur und Instandhaltung von Luft- und Raumfahrzeugen"</t>
  </si>
  <si>
    <t>"33.16.0"</t>
  </si>
  <si>
    <t>"Reparatur und Instandhaltung von Fahrzeugen anderweitig nicht genannt"</t>
  </si>
  <si>
    <t>"33.17.0"</t>
  </si>
  <si>
    <t>"Reparatur von sonstigen Ausrüstungen"</t>
  </si>
  <si>
    <t>"33.19.0"</t>
  </si>
  <si>
    <t>"Installation von Maschinen und Ausrüstungen anderweitig nicht genannt"</t>
  </si>
  <si>
    <t>"33.20.0"</t>
  </si>
  <si>
    <t>"Energieversorgung"</t>
  </si>
  <si>
    <t>"Elektrizitätsversorgung"</t>
  </si>
  <si>
    <t>"Elektrizitätserzeugung"</t>
  </si>
  <si>
    <t>"35.11.1"</t>
  </si>
  <si>
    <t>"Elektrizitätserzeugung ohne Verteilung"</t>
  </si>
  <si>
    <t>"35.11.2"</t>
  </si>
  <si>
    <t>"Elektrizitätserzeugung mit Fremdbezug zur Verteilung"</t>
  </si>
  <si>
    <t>"35.11.3"</t>
  </si>
  <si>
    <t>"Elektrizitätserzeugung ohne Fremdbezug zur Verteilung"</t>
  </si>
  <si>
    <t>"Elektrizitätsübertragung"</t>
  </si>
  <si>
    <t>"35.12.0"</t>
  </si>
  <si>
    <t>"Elektrizitätsverteilung"</t>
  </si>
  <si>
    <t>"35.13.0"</t>
  </si>
  <si>
    <t>"Elektrizitätshandel"</t>
  </si>
  <si>
    <t>"35.14.0"</t>
  </si>
  <si>
    <t>"Gasversorgung"</t>
  </si>
  <si>
    <t>"Gaserzeugung"</t>
  </si>
  <si>
    <t>"35.21.1"</t>
  </si>
  <si>
    <t>"Gaserzeugung ohne Verteilung"</t>
  </si>
  <si>
    <t>"35.21.2"</t>
  </si>
  <si>
    <t>"Gaserzeugung mit Fremdbezug zur Verteilung"</t>
  </si>
  <si>
    <t>"35.21.3"</t>
  </si>
  <si>
    <t>"Gaserzeugung ohne Fremdbezug zur Verteilung"</t>
  </si>
  <si>
    <t>"Gasverteilung durch Rohrleitungen"</t>
  </si>
  <si>
    <t>"35.22.0"</t>
  </si>
  <si>
    <t>"Gashandel durch Rohrleitungen"</t>
  </si>
  <si>
    <t>"35.23.0"</t>
  </si>
  <si>
    <t>"Wärme- und Kälteversorgung"</t>
  </si>
  <si>
    <t>"35.30.0"</t>
  </si>
  <si>
    <t>"Wasserversorgung; Abwasser- und Abfallentsorgung und Beseitigung von Umweltverschmutzungen"</t>
  </si>
  <si>
    <t>"Wasserversorgung"</t>
  </si>
  <si>
    <t>"36.00.1"</t>
  </si>
  <si>
    <t>"Wassergewinnung mit Fremdbezug zur Verteilung"</t>
  </si>
  <si>
    <t>"36.00.2"</t>
  </si>
  <si>
    <t>"Wassergewinnung ohne Fremdbezug zur Verteilung"</t>
  </si>
  <si>
    <t>"36.00.3"</t>
  </si>
  <si>
    <t>"Wasserverteilung ohne Gewinnung"</t>
  </si>
  <si>
    <t>"Abwasserentsorgung"</t>
  </si>
  <si>
    <t>"37.00.1"</t>
  </si>
  <si>
    <t>"Betrieb der Sammelkanalisation"</t>
  </si>
  <si>
    <t>"37.00.2"</t>
  </si>
  <si>
    <t>"Betrieb von Kläranlagen"</t>
  </si>
  <si>
    <t>"Sammlung, Behandlung und Beseitigung von Abfällen; Rückgewinnung"</t>
  </si>
  <si>
    <t>"Sammlung von Abfällen"</t>
  </si>
  <si>
    <t>"Sammlung nicht gefährlicher Abfälle"</t>
  </si>
  <si>
    <t>"38.11.0"</t>
  </si>
  <si>
    <t>"Sammlung gefährlicher Abfälle"</t>
  </si>
  <si>
    <t>"38.12.0"</t>
  </si>
  <si>
    <t>"Abfallbehandlung und -beseitigung"</t>
  </si>
  <si>
    <t>"Behandlung und Beseitigung nicht gefährlicher Abfälle"</t>
  </si>
  <si>
    <t>"38.21.0"</t>
  </si>
  <si>
    <t>"Behandlung und Beseitigung gefährlicher Abfälle"</t>
  </si>
  <si>
    <t>"38.22.0"</t>
  </si>
  <si>
    <t>"Rückgewinnung"</t>
  </si>
  <si>
    <t>"Zerlegen von Schiffs- und Fahrzeugwracks und anderen Altwaren"</t>
  </si>
  <si>
    <t>"38.31.0"</t>
  </si>
  <si>
    <t>"Rückgewinnung sortierter Werkstoffe"</t>
  </si>
  <si>
    <t>"38.32.0"</t>
  </si>
  <si>
    <t>"Beseitigung von Umweltverschmutzungen und sonstige Entsorgung"</t>
  </si>
  <si>
    <t>"39.00.0"</t>
  </si>
  <si>
    <t>"Baugewerbe"</t>
  </si>
  <si>
    <t>"Hochbau"</t>
  </si>
  <si>
    <t>"Erschließung von Grundstücken; Bauträger"</t>
  </si>
  <si>
    <t>"41.10.1"</t>
  </si>
  <si>
    <t>"Erschließung von unbebauten Grundstücken"</t>
  </si>
  <si>
    <t>"41.10.2"</t>
  </si>
  <si>
    <t>"Bauträger für Nichtwohngebäude"</t>
  </si>
  <si>
    <t>"41.10.3"</t>
  </si>
  <si>
    <t>"Bauträger für Wohngebäude"</t>
  </si>
  <si>
    <t>"Bau von Gebäuden"</t>
  </si>
  <si>
    <t>"41.20.1"</t>
  </si>
  <si>
    <t>"Bau von Gebäuden (ohne Fertigteilbau)"</t>
  </si>
  <si>
    <t>"41.20.2"</t>
  </si>
  <si>
    <t>"Errichtung von Fertigteilbauten"</t>
  </si>
  <si>
    <t>"Tiefbau"</t>
  </si>
  <si>
    <t>"Bau von Straßen und Bahnverkehrsstrecken"</t>
  </si>
  <si>
    <t>"Bau von Straßen"</t>
  </si>
  <si>
    <t>"42.11.0"</t>
  </si>
  <si>
    <t>"Bau von Bahnverkehrsstrecken"</t>
  </si>
  <si>
    <t>"42.12.0"</t>
  </si>
  <si>
    <t>"Brücken- und Tunnelbau"</t>
  </si>
  <si>
    <t>"42.13.0"</t>
  </si>
  <si>
    <t>"Leitungstiefbau und Kläranlagenbau"</t>
  </si>
  <si>
    <t>"Rohrleitungstiefbau, Brunnenbau und Kläranlagenbau"</t>
  </si>
  <si>
    <t>"42.21.0"</t>
  </si>
  <si>
    <t>"Kabelnetzleitungstiefbau"</t>
  </si>
  <si>
    <t>"42.22.0"</t>
  </si>
  <si>
    <t>"Sonstiger Tiefbau"</t>
  </si>
  <si>
    <t>"Wasserbau"</t>
  </si>
  <si>
    <t>"42.91.0"</t>
  </si>
  <si>
    <t>"Sonstiger Tiefbau anderweitig nicht genannt"</t>
  </si>
  <si>
    <t>"42.99.0"</t>
  </si>
  <si>
    <t>"Vorbereitende Baustellenarbeiten, Bauinstallation und sonstiges Ausbaugewerbe"</t>
  </si>
  <si>
    <t>"Abbrucharbeiten und vorbereitende Baustellenarbeiten"</t>
  </si>
  <si>
    <t>"Abbrucharbeiten"</t>
  </si>
  <si>
    <t>"43.11.0"</t>
  </si>
  <si>
    <t>"Vorbereitende Baustellenarbeiten"</t>
  </si>
  <si>
    <t>"43.12.0"</t>
  </si>
  <si>
    <t>"Test- und Suchbohrung"</t>
  </si>
  <si>
    <t>"43.13.0"</t>
  </si>
  <si>
    <t>"Bauinstallation"</t>
  </si>
  <si>
    <t>"Elektroinstallation"</t>
  </si>
  <si>
    <t>"43.21.0"</t>
  </si>
  <si>
    <t>"Gas-, Wasser-, Heizungs- sowie Lüftungs- und Klimainstallation"</t>
  </si>
  <si>
    <t>"43.22.0"</t>
  </si>
  <si>
    <t>"Sonstige Bauinstallation"</t>
  </si>
  <si>
    <t>"43.29.1"</t>
  </si>
  <si>
    <t>"Dämmung gegen Kälte, Wärme, Schall und Erschütterung"</t>
  </si>
  <si>
    <t>"43.29.9"</t>
  </si>
  <si>
    <t>"Sonstige Bauinstallation anderweitig nicht genannt"</t>
  </si>
  <si>
    <t>"Sonstiger Ausbau"</t>
  </si>
  <si>
    <t>"Anbringen von Stuckaturen, Gipserei und Verputzerei"</t>
  </si>
  <si>
    <t>"43.31.0"</t>
  </si>
  <si>
    <t>"Bautischlerei und -schlosserei"</t>
  </si>
  <si>
    <t>"43.32.0"</t>
  </si>
  <si>
    <t>"Fußboden-, Fliesen- und Plattenlegerei, Tapeziererei"</t>
  </si>
  <si>
    <t>"43.33.0"</t>
  </si>
  <si>
    <t>"Malerei und Glaserei"</t>
  </si>
  <si>
    <t>"43.34.1"</t>
  </si>
  <si>
    <t>"Maler- und Lackierergewerbe"</t>
  </si>
  <si>
    <t>"43.34.2"</t>
  </si>
  <si>
    <t>"Glasergewerbe"</t>
  </si>
  <si>
    <t>"Sonstiger Ausbau anderweitig nicht genannt"</t>
  </si>
  <si>
    <t>"43.39.0"</t>
  </si>
  <si>
    <t>"Sonstige spezialisierte Bautätigkeiten"</t>
  </si>
  <si>
    <t>"Dachdeckerei und Zimmerei"</t>
  </si>
  <si>
    <t>"43.91.1"</t>
  </si>
  <si>
    <t>"Dachdeckerei und Bauspenglerei"</t>
  </si>
  <si>
    <t>"43.91.2"</t>
  </si>
  <si>
    <t>"Zimmerei und Ingenieurholzbau"</t>
  </si>
  <si>
    <t>"Sonstige spezialisierte Bautätigkeiten anderweitig nicht genannt"</t>
  </si>
  <si>
    <t>"43.99.1"</t>
  </si>
  <si>
    <t>"Gerüstbau"</t>
  </si>
  <si>
    <t>"43.99.2"</t>
  </si>
  <si>
    <t>"Schornstein-, Feuerungs- und Industrieofenbau"</t>
  </si>
  <si>
    <t>"43.99.9"</t>
  </si>
  <si>
    <t>"Baugewerbe anderweitig nicht genannt"</t>
  </si>
  <si>
    <t>"Handel; Instandhaltung und Reparatur von Kraftfahrzeugen"</t>
  </si>
  <si>
    <t>"Handel mit Kraftfahrzeugen; Instandhaltung und Reparatur von Kraftfahrzeugen"</t>
  </si>
  <si>
    <t>"Handel mit Kraftwagen"</t>
  </si>
  <si>
    <t>"Handel mit Kraftwagen mit einem Gesamtgewicht von 3,5 t oder weniger"</t>
  </si>
  <si>
    <t>"45.11.0"</t>
  </si>
  <si>
    <t>"Handel mit Kraftwagen mit einem Gesamtgewicht von mehr als 3,5 t"</t>
  </si>
  <si>
    <t>"45.19.0"</t>
  </si>
  <si>
    <t>"Instandhaltung und Reparatur von Kraftwagen"</t>
  </si>
  <si>
    <t>"45.20.1"</t>
  </si>
  <si>
    <t>"Lackieren von Kraftwagen"</t>
  </si>
  <si>
    <t>"45.20.2"</t>
  </si>
  <si>
    <t>"Autowaschanlagen"</t>
  </si>
  <si>
    <t>"45.20.3"</t>
  </si>
  <si>
    <t>"Instandhaltung und Reparatur von Kraftwagen mit einem Gesamtgewicht von 3,5 t oder weniger (ohne Lackierung und Autowäsche)"</t>
  </si>
  <si>
    <t>"45.20.4"</t>
  </si>
  <si>
    <t>"Instandhaltung und Reparatur von Kraftwagen mit einem Gesamtgewicht von mehr als 3,5 t (ohne Lackierung und Autowäsche)"</t>
  </si>
  <si>
    <t>"Handel mit Kraftwagenteilen und -zubehör"</t>
  </si>
  <si>
    <t>"Großhandel mit Kraftwagenteilen und -zubehör"</t>
  </si>
  <si>
    <t>"45.31.0"</t>
  </si>
  <si>
    <t>"Einzelhandel mit Kraftwagenteilen und -zubehör"</t>
  </si>
  <si>
    <t>"45.32.0"</t>
  </si>
  <si>
    <t>"Handel mit Krafträdern, Kraftradteilen und -zubehör; Instandhaltung und Reparatur von Krafträdern"</t>
  </si>
  <si>
    <t>"45.40.0"</t>
  </si>
  <si>
    <t>"Großhandel (ohne Handel mit Kraftfahrzeugen)"</t>
  </si>
  <si>
    <t>"Handelsvermittlung"</t>
  </si>
  <si>
    <t>"Handelsvermittlung von landwirtschaftlichen Grundstoffen, lebenden Tieren, textilen Rohstoffen und Halbwaren"</t>
  </si>
  <si>
    <t>"46.11.0"</t>
  </si>
  <si>
    <t>"Handelsvermittlung von Brennstoffen, Erzen, Metallen und technischen Chemikalien"</t>
  </si>
  <si>
    <t>"46.12.0"</t>
  </si>
  <si>
    <t>"Handelsvermittlung von Holz, Baustoffen und Anstrichmitteln"</t>
  </si>
  <si>
    <t>"46.13.1"</t>
  </si>
  <si>
    <t>"Handelsvermittlung von Rohholz, Holzhalbwaren und Bauelementen aus Holz"</t>
  </si>
  <si>
    <t>"46.13.2"</t>
  </si>
  <si>
    <t>"Handelsvermittlung von Baustoffen und Anstrichmitteln"</t>
  </si>
  <si>
    <t>"Handelsvermittlung von Maschinen, technischem Bedarf, Wasser- und Luftfahrzeugen"</t>
  </si>
  <si>
    <t>"46.14.1"</t>
  </si>
  <si>
    <t>"Handelsvermittlung von Maschinen (ohne landwirtschaftliche Maschinen und Büromaschinen) und technischem Bedarf anderweitig nicht genannt"</t>
  </si>
  <si>
    <t>"46.14.2"</t>
  </si>
  <si>
    <t>"Handelsvermittlung von Wasser- und Luftfahrzeugen"</t>
  </si>
  <si>
    <t>"46.14.3"</t>
  </si>
  <si>
    <t>"Handelsvermittlung von Geräten der Unterhaltungselektronik"</t>
  </si>
  <si>
    <t>"46.14.4"</t>
  </si>
  <si>
    <t>"Handelsvermittlung von Werkzeugen"</t>
  </si>
  <si>
    <t>"46.14.5"</t>
  </si>
  <si>
    <t>"Handelsvermittlung von Büromaschinen, Datenverarbeitungsgeräten, peripheren Geräten und Software"</t>
  </si>
  <si>
    <t>"46.14.6"</t>
  </si>
  <si>
    <t>"Handelsvermittlung von landwirtschaftlichen Maschinen und Geräten"</t>
  </si>
  <si>
    <t>"46.14.7"</t>
  </si>
  <si>
    <t>"Handelsvermittlung von Installationsbedarf für Gas, Wasser, Heizung und Klimatechnik"</t>
  </si>
  <si>
    <t>"46.14.9"</t>
  </si>
  <si>
    <t>"Handelsvermittlung von elektrotechnischen und elektronischen Erzeugnissen anderweitig nicht genannt"</t>
  </si>
  <si>
    <t>"Handelsvermittlung von Möbeln, Einrichtungs- und Haushaltsgegenständen, Eisen- und Metallwaren"</t>
  </si>
  <si>
    <t>"46.15.1"</t>
  </si>
  <si>
    <t>"Handelsvermittlung von Möbeln, Einrichtungsgegenständen und Antiquitäten"</t>
  </si>
  <si>
    <t>"46.15.2"</t>
  </si>
  <si>
    <t>"Handelsvermittlung von keramischen Erzeugnissen, Glaswaren, Holzwaren anderweitig nicht genannt, sowie Flecht- und Korbwaren"</t>
  </si>
  <si>
    <t>"46.15.3"</t>
  </si>
  <si>
    <t>"Handelsvermittlung von elektrischen Haushaltsgeräten"</t>
  </si>
  <si>
    <t>"46.15.4"</t>
  </si>
  <si>
    <t>"Handelsvermittlung von Eisen-, Metall- und Kunststoffwaren anderweitig nicht genannt"</t>
  </si>
  <si>
    <t>"46.15.5"</t>
  </si>
  <si>
    <t>"Handelsvermittlung von Putz- und Reinigungsmitteln"</t>
  </si>
  <si>
    <t>"Handelsvermittlung von Textilien, Bekleidung, Schuhen und Lederwaren"</t>
  </si>
  <si>
    <t>"46.16.1"</t>
  </si>
  <si>
    <t>"Handelsvermittlung von Meterware für Bekleidung und Wäsche"</t>
  </si>
  <si>
    <t>"46.16.2"</t>
  </si>
  <si>
    <t>"Handelsvermittlung von Heim- und Haustextilien und Bodenbelägen"</t>
  </si>
  <si>
    <t>"46.16.3"</t>
  </si>
  <si>
    <t>"Handelsvermittlung von Bekleidung"</t>
  </si>
  <si>
    <t>"46.16.4"</t>
  </si>
  <si>
    <t>"Handelsvermittlung von Bekleidungszubehör"</t>
  </si>
  <si>
    <t>"46.16.5"</t>
  </si>
  <si>
    <t>"Handelsvermittlung von Schuhen, Lederwaren und Reisegepäck"</t>
  </si>
  <si>
    <t>"Handelsvermittlung von Nahrungsmitteln, Getränken und Tabakwaren"</t>
  </si>
  <si>
    <t>"46.17.1"</t>
  </si>
  <si>
    <t>"Handelsvermittlung von Zucker und Süßwaren"</t>
  </si>
  <si>
    <t>"46.17.2"</t>
  </si>
  <si>
    <t>"Handelsvermittlung von Wein, Sekt und Spirituosen"</t>
  </si>
  <si>
    <t>"46.17.9"</t>
  </si>
  <si>
    <t>"Handelsvermittlung von sonstigen Nahrungsmitteln, Getränken und Tabakwaren"</t>
  </si>
  <si>
    <t>"Handelsvermittlung von sonstigen Waren"</t>
  </si>
  <si>
    <t>"46.18.1"</t>
  </si>
  <si>
    <t>"Handelsvermittlung von feinmechanischen, Foto- und optischen Erzeugnissen"</t>
  </si>
  <si>
    <t>"46.18.2"</t>
  </si>
  <si>
    <t>"Handelsvermittlung von Uhren, Edelmetallwaren und Schmuck"</t>
  </si>
  <si>
    <t>"46.18.3"</t>
  </si>
  <si>
    <t>"Handelsvermittlung von Spielwaren und Musikinstrumenten"</t>
  </si>
  <si>
    <t>"46.18.4"</t>
  </si>
  <si>
    <t>"Handelsvermittlung von pharmazeutischen Erzeugnissen, medizinischen und orthopädischen Artikeln und Laborbedarf, Ärztebedarf, Dentalbedarf, zahnärztlichen Instrumenten, Krankenhaus- und Altenpflegebedarf"</t>
  </si>
  <si>
    <t>"46.18.5"</t>
  </si>
  <si>
    <t>"Handelsvermittlung von kosmetischen Erzeugnissen und Körperpflegemitteln"</t>
  </si>
  <si>
    <t>"46.18.6"</t>
  </si>
  <si>
    <t>"Handelsvermittlung von Karton, Papier und Pappe, Schreibwaren, Bürobedarf, Geschenk- und Werbeartikeln, Verpackungsmitteln und Tapeten"</t>
  </si>
  <si>
    <t>"46.18.7"</t>
  </si>
  <si>
    <t>"Handelsvermittlung von Büchern, Zeitschriften, Zeitungen, Musikalien und sonstigen Druckerzeugnissen"</t>
  </si>
  <si>
    <t>"46.18.9"</t>
  </si>
  <si>
    <t>"Handelsvermittlung von sonstigen Waren anderweitig nicht genannt"</t>
  </si>
  <si>
    <t>"Handelsvermittlung von Waren ohne ausgeprägten Schwerpunkt"</t>
  </si>
  <si>
    <t>"46.19.0"</t>
  </si>
  <si>
    <t>"Großhandel mit landwirtschaftlichen Grundstoffen und lebenden Tieren"</t>
  </si>
  <si>
    <t>"Großhandel mit Getreide, Rohtabak, Saatgut und Futtermitteln"</t>
  </si>
  <si>
    <t>"46.21.0"</t>
  </si>
  <si>
    <t>"Großhandel mit Blumen und Pflanzen"</t>
  </si>
  <si>
    <t>"46.22.0"</t>
  </si>
  <si>
    <t>"Großhandel mit lebenden Tieren"</t>
  </si>
  <si>
    <t>"46.23.0"</t>
  </si>
  <si>
    <t>"Großhandel mit Häuten, Fellen und Leder"</t>
  </si>
  <si>
    <t>"46.24.0"</t>
  </si>
  <si>
    <t>"Großhandel mit Nahrungs- und Genussmitteln, Getränken und Tabakwaren"</t>
  </si>
  <si>
    <t>"Großhandel mit Obst, Gemüse und Kartoffeln"</t>
  </si>
  <si>
    <t>"46.31.0"</t>
  </si>
  <si>
    <t>"Großhandel mit Fleisch und Fleischwaren"</t>
  </si>
  <si>
    <t>"46.32.0"</t>
  </si>
  <si>
    <t>"Großhandel mit Milch, Milcherzeugnissen, Eiern, Speiseölen und Nahrungsfetten"</t>
  </si>
  <si>
    <t>"46.33.0"</t>
  </si>
  <si>
    <t>"Großhandel mit Getränken"</t>
  </si>
  <si>
    <t>"46.34.0"</t>
  </si>
  <si>
    <t>"Großhandel mit Tabakwaren"</t>
  </si>
  <si>
    <t>"46.35.0"</t>
  </si>
  <si>
    <t>"Großhandel mit Zucker, Süßwaren und Backwaren"</t>
  </si>
  <si>
    <t>"46.36.0"</t>
  </si>
  <si>
    <t>"Großhandel mit Kaffee, Tee, Kakao und Gewürzen"</t>
  </si>
  <si>
    <t>"46.37.0"</t>
  </si>
  <si>
    <t>"Großhandel mit sonstigen Nahrungs- und Genussmitteln"</t>
  </si>
  <si>
    <t>"46.38.1"</t>
  </si>
  <si>
    <t>"Großhandel mit Fisch und Fischerzeugnissen"</t>
  </si>
  <si>
    <t>"46.38.2"</t>
  </si>
  <si>
    <t>"Großhandel mit Mehl und Getreideprodukten"</t>
  </si>
  <si>
    <t>"46.38.9"</t>
  </si>
  <si>
    <t>"Großhandel mit Nahrungs- und Genussmitteln anderweitig nicht genannt"</t>
  </si>
  <si>
    <t>"Großhandel mit Nahrungs- und Genussmitteln, Getränken und Tabakwaren, ohne ausgeprägten Schwerpunkt"</t>
  </si>
  <si>
    <t>"46.39.1"</t>
  </si>
  <si>
    <t>"Großhandel mit tiefgefrorenen Nahrungsmitteln, ohne ausgeprägten Schwerpunkt"</t>
  </si>
  <si>
    <t>"46.39.9"</t>
  </si>
  <si>
    <t>"Großhandel mit sonstigen Nahrungs- und Genussmitteln, Getränken und Tabakwaren, ohne ausgeprägten Schwerpunkt"</t>
  </si>
  <si>
    <t>"Großhandel mit Gebrauchs- und Verbrauchsgütern"</t>
  </si>
  <si>
    <t>"Großhandel mit Textilien"</t>
  </si>
  <si>
    <t>"46.41.0"</t>
  </si>
  <si>
    <t>"Großhandel mit Bekleidung und Schuhen"</t>
  </si>
  <si>
    <t>"46.42.1"</t>
  </si>
  <si>
    <t>"Großhandel mit Bekleidung"</t>
  </si>
  <si>
    <t>"46.42.2"</t>
  </si>
  <si>
    <t>"Großhandel mit Schuhen"</t>
  </si>
  <si>
    <t>"Großhandel mit Foto- und optischen Erzeugnissen, elektrischen Haushaltsgeräten und Geräten der Unterhaltungselektronik"</t>
  </si>
  <si>
    <t>"46.43.1"</t>
  </si>
  <si>
    <t>"Großhandel mit Foto- und optischen Erzeugnissen"</t>
  </si>
  <si>
    <t>"46.43.2"</t>
  </si>
  <si>
    <t>"Großhandel mit elektrischen Haushaltsgeräten"</t>
  </si>
  <si>
    <t>"46.43.3"</t>
  </si>
  <si>
    <t>"Großhandel mit Geräten der Unterhaltungselektronik"</t>
  </si>
  <si>
    <t>"Großhandel mit keramischen Erzeugnissen, Glaswaren und Reinigungsmitteln"</t>
  </si>
  <si>
    <t>"46.44.1"</t>
  </si>
  <si>
    <t>"Großhandel mit keramischen Erzeugnissen und Glaswaren"</t>
  </si>
  <si>
    <t>"46.44.2"</t>
  </si>
  <si>
    <t>"Großhandel mit Wasch-, Putz- und Reinigungsmitteln"</t>
  </si>
  <si>
    <t>"Großhandel mit kosmetischen Erzeugnissen und Körperpflegemitteln"</t>
  </si>
  <si>
    <t>"46.45.0"</t>
  </si>
  <si>
    <t>"Großhandel mit pharmazeutischen, medizinischen und orthopädischen Erzeugnissen"</t>
  </si>
  <si>
    <t>"46.46.1"</t>
  </si>
  <si>
    <t>"Großhandel mit pharmazeutischen Erzeugnissen"</t>
  </si>
  <si>
    <t>"46.46.2"</t>
  </si>
  <si>
    <t>"Großhandel mit medizinischen und orthopädischen Artikeln, Dental- und Laborbedarf"</t>
  </si>
  <si>
    <t>"Großhandel mit Möbeln, Teppichen, Lampen und Leuchten"</t>
  </si>
  <si>
    <t>"46.47.0"</t>
  </si>
  <si>
    <t>"Großhandel mit Uhren und Schmuck"</t>
  </si>
  <si>
    <t>"46.48.0"</t>
  </si>
  <si>
    <t>"Großhandel mit sonstigen Gebrauchs- und Verbrauchsgütern"</t>
  </si>
  <si>
    <t>"46.49.1"</t>
  </si>
  <si>
    <t>"Großhandel mit Spielwaren und Musikinstrumenten"</t>
  </si>
  <si>
    <t>"46.49.2"</t>
  </si>
  <si>
    <t>"Großhandel mit Fahrrädern, Fahrradteilen und -zubehör, Sport- und Campingartikeln (ohne Campingmöbel)"</t>
  </si>
  <si>
    <t>"46.49.3"</t>
  </si>
  <si>
    <t>"Großhandel mit Lederwaren, Reisegepäck, Geschenk- und Werbeartikeln"</t>
  </si>
  <si>
    <t>"46.49.4"</t>
  </si>
  <si>
    <t>"Großhandel mit Karton, Papier, Pappe, Schreibwaren, Bürobedarf, Büchern, Zeitschriften und Zeitungen"</t>
  </si>
  <si>
    <t>"46.49.5"</t>
  </si>
  <si>
    <t>"Großhandel mit nicht elektrischen Haushaltsgeräten, Haushaltswaren aus Metall sowie sonstigen Gebrauchs- und Verbrauchsgütern anderweitig nicht genannt"</t>
  </si>
  <si>
    <t>"Großhandel mit Geräten der Informations- und Kommunikationstechnik"</t>
  </si>
  <si>
    <t>"Großhandel mit Datenverarbeitungsgeräten, peripheren Geräten und Software"</t>
  </si>
  <si>
    <t>"46.51.0"</t>
  </si>
  <si>
    <t>"Großhandel mit elektronischen Bauteilen und Telekommunikationsgeräten"</t>
  </si>
  <si>
    <t>"46.52.0"</t>
  </si>
  <si>
    <t>"Großhandel mit sonstigen Maschinen, Ausrüstungen und Zubehör"</t>
  </si>
  <si>
    <t>"Großhandel mit landwirtschaftlichen Maschinen und Geräten"</t>
  </si>
  <si>
    <t>"46.61.0"</t>
  </si>
  <si>
    <t>"Großhandel mit Werkzeugmaschinen"</t>
  </si>
  <si>
    <t>"46.62.0"</t>
  </si>
  <si>
    <t>"Großhandel mit Bergwerks-, Bau- und Baustoffmaschinen"</t>
  </si>
  <si>
    <t>"46.63.0"</t>
  </si>
  <si>
    <t>"Großhandel mit Textil-, Näh- und Strickmaschinen"</t>
  </si>
  <si>
    <t>"46.64.0"</t>
  </si>
  <si>
    <t>"Großhandel mit Büromöbeln"</t>
  </si>
  <si>
    <t>"46.65.0"</t>
  </si>
  <si>
    <t>"Großhandel mit sonstigen Büromaschinen und -einrichtungen"</t>
  </si>
  <si>
    <t>"46.66.0"</t>
  </si>
  <si>
    <t>"Großhandel mit sonstigen Maschinen und Ausrüstungen"</t>
  </si>
  <si>
    <t>"46.69.1"</t>
  </si>
  <si>
    <t>"Großhandel mit Flurförderzeugen und Fahrzeugen anderweitig nicht genannt"</t>
  </si>
  <si>
    <t>"46.69.2"</t>
  </si>
  <si>
    <t>"Großhandel mit sonstigen Maschinen"</t>
  </si>
  <si>
    <t>"46.69.3"</t>
  </si>
  <si>
    <t>"Großhandel mit sonstigen Ausrüstungen und Zubehör für Maschinen sowie mit technischem Bedarf"</t>
  </si>
  <si>
    <t>"Sonstiger Großhandel"</t>
  </si>
  <si>
    <t>"Großhandel mit festen Brennstoffen und Mineralölerzeugnissen"</t>
  </si>
  <si>
    <t>"46.71.1"</t>
  </si>
  <si>
    <t>"Großhandel mit festen Brennstoffen"</t>
  </si>
  <si>
    <t>"46.71.2"</t>
  </si>
  <si>
    <t>"Großhandel mit Mineralölerzeugnissen"</t>
  </si>
  <si>
    <t>"Großhandel mit Erzen, Metallen und Metallhalbzeug"</t>
  </si>
  <si>
    <t>"46.72.1"</t>
  </si>
  <si>
    <t>"Großhandel mit Eisenerzen, Eisen, Stahl, Eisen- und Stahlhalbzeug"</t>
  </si>
  <si>
    <t>"46.72.2"</t>
  </si>
  <si>
    <t>"Großhandel mit NE-Erzen, NE-Metallen und NE-Metallhalbzeug"</t>
  </si>
  <si>
    <t>"Großhandel mit Holz, Baustoffen, Anstrichmitteln und Sanitärkeramik"</t>
  </si>
  <si>
    <t>"46.73.1"</t>
  </si>
  <si>
    <t>"Großhandel mit Holz, Baustoffen, Anstrichmitteln und Sanitärkeramik, ohne ausgeprägten Schwerpunkt"</t>
  </si>
  <si>
    <t>"46.73.2"</t>
  </si>
  <si>
    <t>"Großhandel mit Roh- und Schnittholz"</t>
  </si>
  <si>
    <t>"46.73.3"</t>
  </si>
  <si>
    <t>"Großhandel mit sonstigen Holzhalbwaren sowie Bauelementen aus Holz"</t>
  </si>
  <si>
    <t>"46.73.4"</t>
  </si>
  <si>
    <t>"Großhandel mit Baustoffen und Bauelementen aus mineralischen Stoffen"</t>
  </si>
  <si>
    <t>"46.73.5"</t>
  </si>
  <si>
    <t>"Großhandel mit Flachglas"</t>
  </si>
  <si>
    <t>"46.73.6"</t>
  </si>
  <si>
    <t>"Großhandel mit Anstrichmitteln"</t>
  </si>
  <si>
    <t>"46.73.7"</t>
  </si>
  <si>
    <t>"Großhandel mit Sanitärkeramik"</t>
  </si>
  <si>
    <t>"46.73.8"</t>
  </si>
  <si>
    <t>"Großhandel mit Tapeten und Bodenbelägen (ohne Teppiche)"</t>
  </si>
  <si>
    <t>"Großhandel mit Metall- und Kunststoffwaren für Bauzwecke sowie Installationsbedarf für Gas, Wasser und Heizung"</t>
  </si>
  <si>
    <t>"46.74.1"</t>
  </si>
  <si>
    <t>"Großhandel mit Werkzeugen und Kleineisenwaren"</t>
  </si>
  <si>
    <t>"46.74.2"</t>
  </si>
  <si>
    <t>"Großhandel mit Installationsbedarf für Gas, Wasser und Heizung"</t>
  </si>
  <si>
    <t>"46.74.3"</t>
  </si>
  <si>
    <t>"Großhandel mit Metall- und Kunststoffwaren für Bauzwecke"</t>
  </si>
  <si>
    <t>"Großhandel mit chemischen Erzeugnissen"</t>
  </si>
  <si>
    <t>"46.75.0"</t>
  </si>
  <si>
    <t>"Großhandel mit sonstigen Halbwaren"</t>
  </si>
  <si>
    <t>"46.76.0"</t>
  </si>
  <si>
    <t>"Großhandel mit Altmaterialien und Reststoffen"</t>
  </si>
  <si>
    <t>"46.77.0"</t>
  </si>
  <si>
    <t>"Großhandel ohne ausgeprägten Schwerpunkt"</t>
  </si>
  <si>
    <t>"46.90.1"</t>
  </si>
  <si>
    <t>"Großhandel mit Rohstoffen, Halb- und Fertigwaren, ohne ausgeprägten Schwerpunkt"</t>
  </si>
  <si>
    <t>"46.90.2"</t>
  </si>
  <si>
    <t>"Großhandel mit Rohstoffen und Halbwaren, ohne ausgeprägten Schwerpunkt"</t>
  </si>
  <si>
    <t>"46.90.3"</t>
  </si>
  <si>
    <t>"Großhandel mit Fertigwaren, ohne ausgeprägten Schwerpunkt"</t>
  </si>
  <si>
    <t>"Einzelhandel (ohne Handel mit Kraftfahrzeugen)"</t>
  </si>
  <si>
    <t>"Einzelhandel mit Waren verschiedener Art (in Verkaufsräumen)"</t>
  </si>
  <si>
    <t>"Einzelhandel mit Waren verschiedener Art, Hauptrichtung Nahrungs- und Genussmittel, Getränke und Tabakwaren"</t>
  </si>
  <si>
    <t>"47.11.1"</t>
  </si>
  <si>
    <t>"Einzelhandel mit Nahrungs- und Genussmitteln, Getränken und Tabakwaren, ohne ausgeprägten Schwerpunkt"</t>
  </si>
  <si>
    <t>"47.11.2"</t>
  </si>
  <si>
    <t>"Sonstiger Einzelhandel mit Waren verschiedener Art, Hauptrichtung Nahrungs- und Genussmittel, Getränke und Tabakwaren"</t>
  </si>
  <si>
    <t>"Sonstiger Einzelhandel mit Waren verschiedener Art"</t>
  </si>
  <si>
    <t>"47.19.1"</t>
  </si>
  <si>
    <t>"Einzelhandel mit Waren verschiedener Art (ohne Nahrungsmittel)"</t>
  </si>
  <si>
    <t>"47.19.2"</t>
  </si>
  <si>
    <t>"Einzelhandel mit Waren verschiedener Art, Hauptrichtung Nicht-Nahrungsmittel"</t>
  </si>
  <si>
    <t>"Einzelhandel mit Nahrungs- und Genussmitteln, Getränken und Tabakwaren (in Verkaufsräumen)"</t>
  </si>
  <si>
    <t>"Einzelhandel mit Obst, Gemüse und Kartoffeln"</t>
  </si>
  <si>
    <t>"47.21.0"</t>
  </si>
  <si>
    <t>"Einzelhandel mit Fleisch und Fleischwaren"</t>
  </si>
  <si>
    <t>"47.22.0"</t>
  </si>
  <si>
    <t>"Einzelhandel mit Fisch, Meeresfrüchten und Fischerzeugnissen"</t>
  </si>
  <si>
    <t>"47.23.0"</t>
  </si>
  <si>
    <t>"Einzelhandel mit Back- und Süßwaren"</t>
  </si>
  <si>
    <t>"47.24.0"</t>
  </si>
  <si>
    <t>"Einzelhandel mit Getränken"</t>
  </si>
  <si>
    <t>"47.25.0"</t>
  </si>
  <si>
    <t>"Einzelhandel mit Tabakwaren"</t>
  </si>
  <si>
    <t>"47.26.0"</t>
  </si>
  <si>
    <t>"Sonstiger Einzelhandel mit Nahrungs- und Genussmitteln"</t>
  </si>
  <si>
    <t>"47.29.0"</t>
  </si>
  <si>
    <t>"Einzelhandel mit Motorenkraftstoffen (Tankstellen)"</t>
  </si>
  <si>
    <t>"47.30.1"</t>
  </si>
  <si>
    <t>"Einzelhandel in fremdem Namen mit Motorenkraftstoffen (Agenturtankstellen)"</t>
  </si>
  <si>
    <t>"47.30.2"</t>
  </si>
  <si>
    <t>"Einzelhandel in eigenem Namen mit Motorenkraftstoffen (Freie Tankstellen)"</t>
  </si>
  <si>
    <t>"Einzelhandel mit Geräten der Informations- und Kommunikationstechnik (in Verkaufsräumen)"</t>
  </si>
  <si>
    <t>"Einzelhandel mit Datenverarbeitungsgeräten, peripheren Geräten und Software"</t>
  </si>
  <si>
    <t>"47.41.0"</t>
  </si>
  <si>
    <t>"Einzelhandel mit Telekommunikationsgeräten"</t>
  </si>
  <si>
    <t>"47.42.0"</t>
  </si>
  <si>
    <t>"Einzelhandel mit Geräten der Unterhaltungselektronik"</t>
  </si>
  <si>
    <t>"47.43.0"</t>
  </si>
  <si>
    <t>"Einzelhandel mit sonstigen Haushaltsgeräten, Textilien, Heimwerker- und Einrichtungsbedarf (in Verkaufsräumen)"</t>
  </si>
  <si>
    <t>"Einzelhandel mit Textilien"</t>
  </si>
  <si>
    <t>"47.51.0"</t>
  </si>
  <si>
    <t>"Einzelhandel mit Metallwaren, Anstrichmitteln, Bau- und Heimwerkerbedarf"</t>
  </si>
  <si>
    <t>"47.52.1"</t>
  </si>
  <si>
    <t>"Einzelhandel mit Metall- und Kunststoffwaren anderweitig nicht genannt"</t>
  </si>
  <si>
    <t>"47.52.3"</t>
  </si>
  <si>
    <t>"Einzelhandel mit Anstrichmitteln, Bau- und Heimwerkerbedarf"</t>
  </si>
  <si>
    <t>"Einzelhandel mit Vorhängen, Teppichen, Fußbodenbelägen und Tapeten"</t>
  </si>
  <si>
    <t>"47.53.0"</t>
  </si>
  <si>
    <t>"Einzelhandel mit elektrischen Haushaltsgeräten"</t>
  </si>
  <si>
    <t>"47.54.0"</t>
  </si>
  <si>
    <t>"Einzelhandel mit Möbeln, Einrichtungsgegenständen und sonstigem Hausrat"</t>
  </si>
  <si>
    <t>"47.59.1"</t>
  </si>
  <si>
    <t>"Einzelhandel mit Wohnmöbeln"</t>
  </si>
  <si>
    <t>"47.59.2"</t>
  </si>
  <si>
    <t>"Einzelhandel mit keramischen Erzeugnissen und Glaswaren"</t>
  </si>
  <si>
    <t>"47.59.3"</t>
  </si>
  <si>
    <t>"Einzelhandel mit Musikinstrumenten und Musikalien"</t>
  </si>
  <si>
    <t>"47.59.9"</t>
  </si>
  <si>
    <t>"Einzelhandel mit Haushaltsgegenständen anderweitig nicht genannt"</t>
  </si>
  <si>
    <t>"Einzelhandel mit Verlagsprodukten, Sportausrüstungen und Spielwaren (in Verkaufsräumen)"</t>
  </si>
  <si>
    <t>"Einzelhandel mit Büchern"</t>
  </si>
  <si>
    <t>"47.61.0"</t>
  </si>
  <si>
    <t>"Einzelhandel mit Zeitschriften, Zeitungen, Schreibwaren und Bürobedarf"</t>
  </si>
  <si>
    <t>"47.62.1"</t>
  </si>
  <si>
    <t>"Einzelhandel mit Zeitschriften und  Zeitungen"</t>
  </si>
  <si>
    <t>"47.62.2"</t>
  </si>
  <si>
    <t>"Einzelhandel mit Schreib- und Papierwaren, Schul- und Büroartikeln"</t>
  </si>
  <si>
    <t>"Einzelhandel mit bespielten Ton- und Bildträgern"</t>
  </si>
  <si>
    <t>"47.63.0"</t>
  </si>
  <si>
    <t>"Einzelhandel mit Fahrrädern, Sport- und Campingartikeln"</t>
  </si>
  <si>
    <t>"47.64.1"</t>
  </si>
  <si>
    <t>"Einzelhandel mit Fahrrädern, Fahrradteilen und -zubehör"</t>
  </si>
  <si>
    <t>"47.64.2"</t>
  </si>
  <si>
    <t>"Einzelhandel mit Sport- und Campingartikeln (ohne Campingmöbel)"</t>
  </si>
  <si>
    <t>"Einzelhandel mit Spielwaren"</t>
  </si>
  <si>
    <t>"47.65.0"</t>
  </si>
  <si>
    <t>"Einzelhandel mit sonstigen Gütern (in Verkaufsräumen)"</t>
  </si>
  <si>
    <t>"Einzelhandel mit Bekleidung"</t>
  </si>
  <si>
    <t>"47.71.0"</t>
  </si>
  <si>
    <t>"Einzelhandel mit Schuhen und Lederwaren"</t>
  </si>
  <si>
    <t>"47.72.1"</t>
  </si>
  <si>
    <t>"Einzelhandel mit Schuhen"</t>
  </si>
  <si>
    <t>"47.72.2"</t>
  </si>
  <si>
    <t>"Einzelhandel mit Lederwaren und Reisegepäck"</t>
  </si>
  <si>
    <t>"Apotheken"</t>
  </si>
  <si>
    <t>"47.73.0"</t>
  </si>
  <si>
    <t>"Einzelhandel mit medizinischen und orthopädischen Artikeln"</t>
  </si>
  <si>
    <t>"47.74.0"</t>
  </si>
  <si>
    <t>"Einzelhandel mit kosmetischen Erzeugnissen und Körperpflegemitteln"</t>
  </si>
  <si>
    <t>"47.75.0"</t>
  </si>
  <si>
    <t>"Einzelhandel mit Blumen, Pflanzen, Sämereien, Düngemitteln, zoologischem Bedarf und lebenden Tieren"</t>
  </si>
  <si>
    <t>"47.76.1"</t>
  </si>
  <si>
    <t>"Einzelhandel mit Blumen, Pflanzen, Sämereien und Düngemitteln"</t>
  </si>
  <si>
    <t>"47.76.2"</t>
  </si>
  <si>
    <t>"Einzelhandel mit zoologischem Bedarf und lebenden Tieren"</t>
  </si>
  <si>
    <t>"Einzelhandel mit Uhren und Schmuck"</t>
  </si>
  <si>
    <t>"47.77.0"</t>
  </si>
  <si>
    <t>"Sonstiger Einzelhandel in Verkaufsräumen (ohne Antiquitäten und Gebrauchtwaren)"</t>
  </si>
  <si>
    <t>"47.78.1"</t>
  </si>
  <si>
    <t>"Augenoptiker"</t>
  </si>
  <si>
    <t>"47.78.2"</t>
  </si>
  <si>
    <t>"Einzelhandel mit Foto- und optischen Erzeugnissen (ohne Augenoptiker)"</t>
  </si>
  <si>
    <t>"47.78.3"</t>
  </si>
  <si>
    <t>"Einzelhandel mit Kunstgegenständen, Bildern, kunstgewerblichen Erzeugnissen, Briefmarken, Münzen und Geschenkartikeln"</t>
  </si>
  <si>
    <t>"47.78.9"</t>
  </si>
  <si>
    <t>"Sonstiger Einzelhandel anderweitig nicht genannt (in Verkaufsräumen)"</t>
  </si>
  <si>
    <t>"Einzelhandel mit Antiquitäten und Gebrauchtwaren"</t>
  </si>
  <si>
    <t>"47.79.1"</t>
  </si>
  <si>
    <t>"Einzelhandel mit Antiquitäten und antiken Teppichen"</t>
  </si>
  <si>
    <t>"47.79.2"</t>
  </si>
  <si>
    <t>"Antiquariate"</t>
  </si>
  <si>
    <t>"47.79.9"</t>
  </si>
  <si>
    <t>"Einzelhandel mit sonstigen Gebrauchtwaren"</t>
  </si>
  <si>
    <t>"Einzelhandel an Verkaufsständen und auf Märkten"</t>
  </si>
  <si>
    <t>"Einzelhandel mit Nahrungs- und Genussmitteln, Getränken und Tabakwaren an Verkaufsständen und auf Märkten"</t>
  </si>
  <si>
    <t>"47.81.0"</t>
  </si>
  <si>
    <t>"Einzelhandel mit Textilien, Bekleidung und Schuhen an Verkaufsständen und auf Märkten"</t>
  </si>
  <si>
    <t>"47.82.0"</t>
  </si>
  <si>
    <t>"Einzelhandel mit sonstigen Gütern an Verkaufsständen und auf Märkten"</t>
  </si>
  <si>
    <t>"47.89.0"</t>
  </si>
  <si>
    <t>"Einzelhandel, nicht in Verkaufsräumen, an Verkaufsständen oder auf Märkten"</t>
  </si>
  <si>
    <t>"Versand- und Internet-Einzelhandel"</t>
  </si>
  <si>
    <t>"47.91.1"</t>
  </si>
  <si>
    <t>"Versand- und Internet-Einzelhandel mit Textilien, Bekleidung, Schuhen und Lederwaren"</t>
  </si>
  <si>
    <t>"47.91.9"</t>
  </si>
  <si>
    <t>"Sonstiger Versand- und Internet-Einzelhandel"</t>
  </si>
  <si>
    <t>"Sonstiger Einzelhandel, nicht in Verkaufsräumen, an Verkaufsständen oder auf Märkten"</t>
  </si>
  <si>
    <t>"47.99.1"</t>
  </si>
  <si>
    <t>"Einzelhandel vom Lager mit Brennstoffen"</t>
  </si>
  <si>
    <t>"47.99.9"</t>
  </si>
  <si>
    <t>"Sonstiger Einzelhandel anderweitig nicht genannt (nicht in Verkaufsräumen)"</t>
  </si>
  <si>
    <t>"Verkehr und Lagerei"</t>
  </si>
  <si>
    <t>"Landverkehr und Transport in Rohrfernleitungen"</t>
  </si>
  <si>
    <t>"Personenbeförderung im Eisenbahnfernverkehr"</t>
  </si>
  <si>
    <t>"49.10.0"</t>
  </si>
  <si>
    <t>"Güterbeförderung im Eisenbahnverkehr"</t>
  </si>
  <si>
    <t>"49.20.0"</t>
  </si>
  <si>
    <t>"Sonstige Personenbeförderung im Landverkehr"</t>
  </si>
  <si>
    <t>"Personenbeförderung im Nahverkehr zu Lande (ohne Taxis)"</t>
  </si>
  <si>
    <t>"49.31.0"</t>
  </si>
  <si>
    <t>"Betrieb von Taxis"</t>
  </si>
  <si>
    <t>"49.32.0"</t>
  </si>
  <si>
    <t>"Sonstige Personenbeförderung im Landverkehr anderweitig nicht genannt"</t>
  </si>
  <si>
    <t>"49.39.1"</t>
  </si>
  <si>
    <t>"Personenbeförderung im Omnibus-Linienfernverkehr"</t>
  </si>
  <si>
    <t>"49.39.2"</t>
  </si>
  <si>
    <t>"Personenbeförderung im Omnibus-Gelegenheitsverkehr"</t>
  </si>
  <si>
    <t>"49.39.9"</t>
  </si>
  <si>
    <t>"Personenbeförderung im Landverkehr anderweitig nicht genannt"</t>
  </si>
  <si>
    <t>"Güterbeförderung im Straßenverkehr, Umzugstransporte"</t>
  </si>
  <si>
    <t>"Güterbeförderung im Straßenverkehr"</t>
  </si>
  <si>
    <t>"49.41.0"</t>
  </si>
  <si>
    <t>"Umzugstransporte"</t>
  </si>
  <si>
    <t>"49.42.0"</t>
  </si>
  <si>
    <t>"Transport in Rohrfernleitungen"</t>
  </si>
  <si>
    <t>"49.50.0"</t>
  </si>
  <si>
    <t>"Schifffahrt"</t>
  </si>
  <si>
    <t>"Personenbeförderung in der See- und Küstenschifffahrt"</t>
  </si>
  <si>
    <t>"50.10.0"</t>
  </si>
  <si>
    <t>"Güterbeförderung in der See- und Küstenschifffahrt"</t>
  </si>
  <si>
    <t>"50.20.0"</t>
  </si>
  <si>
    <t>"Personenbeförderung in der Binnenschifffahrt"</t>
  </si>
  <si>
    <t>"50.30.0"</t>
  </si>
  <si>
    <t>"Güterbeförderung in der Binnenschifffahrt"</t>
  </si>
  <si>
    <t>"50.40.0"</t>
  </si>
  <si>
    <t>"Luftfahrt"</t>
  </si>
  <si>
    <t>"Personenbeförderung in der Luftfahrt"</t>
  </si>
  <si>
    <t>"51.10.0"</t>
  </si>
  <si>
    <t>"Güterbeförderung in der Luftfahrt und Raumtransport"</t>
  </si>
  <si>
    <t>"Güterbeförderung in der Luftfahrt"</t>
  </si>
  <si>
    <t>"51.21.0"</t>
  </si>
  <si>
    <t>"Raumtransport"</t>
  </si>
  <si>
    <t>"51.22.0"</t>
  </si>
  <si>
    <t>"Lagerei sowie Erbringung von sonstigen Dienstleistungen für den Verkehr"</t>
  </si>
  <si>
    <t>"Lagerei"</t>
  </si>
  <si>
    <t>"52.10.0"</t>
  </si>
  <si>
    <t>"Erbringung von sonstigen Dienstleistungen für den Verkehr"</t>
  </si>
  <si>
    <t>"Erbringung von sonstigen Dienstleistungen für den Landverkehr"</t>
  </si>
  <si>
    <t>"52.21.1"</t>
  </si>
  <si>
    <t>"Betrieb von Parkhäusern und Parkplätzen"</t>
  </si>
  <si>
    <t>"52.21.2"</t>
  </si>
  <si>
    <t>"Betrieb von Verkehrswegen für Straßenfahrzeuge"</t>
  </si>
  <si>
    <t>"52.21.3"</t>
  </si>
  <si>
    <t>"Betrieb von Verkehrswegen für Schienenfahrzeuge"</t>
  </si>
  <si>
    <t>"52.21.4"</t>
  </si>
  <si>
    <t>"Betrieb von Bahnhöfen für den Personenverkehr einschließlich Omnibusbahnhöfe"</t>
  </si>
  <si>
    <t>"52.21.5"</t>
  </si>
  <si>
    <t>"Betrieb von Güterabfertigungseinrichtungen für Schienen- und Straßenfahrzeuge (ohne Frachtumschlag)"</t>
  </si>
  <si>
    <t>"52.21.9"</t>
  </si>
  <si>
    <t>"Erbringung von sonstigen Dienstleistungen für den Landverkehr anderweitig nicht genannt"</t>
  </si>
  <si>
    <t>"Erbringung von sonstigen Dienstleistungen für die Schifffahrt"</t>
  </si>
  <si>
    <t>"52.22.1"</t>
  </si>
  <si>
    <t>"Betrieb von Wasserstraßen"</t>
  </si>
  <si>
    <t>"52.22.2"</t>
  </si>
  <si>
    <t>"Betrieb von Häfen"</t>
  </si>
  <si>
    <t>"52.22.3"</t>
  </si>
  <si>
    <t>"Lotsinnen und Lotsen in der Schifffahrt"</t>
  </si>
  <si>
    <t>"52.22.9"</t>
  </si>
  <si>
    <t>"Erbringung von sonstigen Dienstleistungen für die Schifffahrt anderweitig nicht genannt"</t>
  </si>
  <si>
    <t>"Erbringung von sonstigen Dienstleistungen für die Luftfahrt"</t>
  </si>
  <si>
    <t>"52.23.1"</t>
  </si>
  <si>
    <t>"Betrieb von Flughäfen und Landeplätzen für Luftfahrzeuge"</t>
  </si>
  <si>
    <t>"52.23.9"</t>
  </si>
  <si>
    <t>"Erbringung von sonstigen Dienstleistungen für die Luftfahrt anderweitig nicht genannt"</t>
  </si>
  <si>
    <t>"Frachtumschlag"</t>
  </si>
  <si>
    <t>"52.24.0"</t>
  </si>
  <si>
    <t>"Erbringung von sonstigen Dienstleistungen für den Verkehr anderweitig nicht genannt"</t>
  </si>
  <si>
    <t>"52.29.1"</t>
  </si>
  <si>
    <t>"Spedition"</t>
  </si>
  <si>
    <t>"52.29.2"</t>
  </si>
  <si>
    <t>"Schiffsmaklerbüros und -agenturen"</t>
  </si>
  <si>
    <t>"52.29.9"</t>
  </si>
  <si>
    <t>"Erbringung von Dienstleistungen für den Verkehr anderweitig nicht genannt"</t>
  </si>
  <si>
    <t>"Post-, Kurier- und Expressdienste"</t>
  </si>
  <si>
    <t>"Postdienste von Universaldienstleistungsanbietern"</t>
  </si>
  <si>
    <t>"53.10.0"</t>
  </si>
  <si>
    <t>"Sonstige Post-, Kurier- und Expressdienste"</t>
  </si>
  <si>
    <t>"53.20.0"</t>
  </si>
  <si>
    <t>"Gastgewerbe"</t>
  </si>
  <si>
    <t>"Beherbergung"</t>
  </si>
  <si>
    <t>"Hotels, Gasthöfe und Pensionen"</t>
  </si>
  <si>
    <t>"55.10.1"</t>
  </si>
  <si>
    <t>"Hotels (ohne Hotels garnis)"</t>
  </si>
  <si>
    <t>"55.10.2"</t>
  </si>
  <si>
    <t>"Hotels garnis"</t>
  </si>
  <si>
    <t>"55.10.3"</t>
  </si>
  <si>
    <t>"Gasthöfe"</t>
  </si>
  <si>
    <t>"55.10.4"</t>
  </si>
  <si>
    <t>"Pensionen"</t>
  </si>
  <si>
    <t>"Ferienunterkünfte und ähnliche Beherbergungsstätten"</t>
  </si>
  <si>
    <t>"55.20.1"</t>
  </si>
  <si>
    <t>"Erholungs- und Ferienheime"</t>
  </si>
  <si>
    <t>"55.20.2"</t>
  </si>
  <si>
    <t>"Ferienzentren"</t>
  </si>
  <si>
    <t>"55.20.3"</t>
  </si>
  <si>
    <t>"Ferienhäuser und Ferienwohnungen"</t>
  </si>
  <si>
    <t>"55.20.4"</t>
  </si>
  <si>
    <t>"Jugendherbergen und Hütten"</t>
  </si>
  <si>
    <t>"Campingplätze"</t>
  </si>
  <si>
    <t>"55.30.0"</t>
  </si>
  <si>
    <t>"Sonstige Beherbergungsstätten"</t>
  </si>
  <si>
    <t>"55.90.1"</t>
  </si>
  <si>
    <t>"Privatquartiere"</t>
  </si>
  <si>
    <t>"55.90.9"</t>
  </si>
  <si>
    <t>"Sonstige Beherbergungsstätten anderweitig nicht genannt"</t>
  </si>
  <si>
    <t>"Gastronomie"</t>
  </si>
  <si>
    <t>"Restaurants, Gaststätten, Imbissstuben, Cafés, Eissalons u. Ä."</t>
  </si>
  <si>
    <t>"56.10.1"</t>
  </si>
  <si>
    <t>"Restaurants mit herkömmlicher Bedienung"</t>
  </si>
  <si>
    <t>"56.10.2"</t>
  </si>
  <si>
    <t>"Restaurants mit Selbstbedienung"</t>
  </si>
  <si>
    <t>"56.10.3"</t>
  </si>
  <si>
    <t>"Imbissstuben u. Ä."</t>
  </si>
  <si>
    <t>"56.10.4"</t>
  </si>
  <si>
    <t>"Cafés"</t>
  </si>
  <si>
    <t>"56.10.5"</t>
  </si>
  <si>
    <t>"Eissalons"</t>
  </si>
  <si>
    <t>"Caterer und Erbringung sonstiger Verpflegungsdienstleistungen"</t>
  </si>
  <si>
    <t>"Event-Caterer"</t>
  </si>
  <si>
    <t>"56.21.0"</t>
  </si>
  <si>
    <t>"Erbringung sonstiger Verpflegungsdienstleistungen"</t>
  </si>
  <si>
    <t>"56.29.0"</t>
  </si>
  <si>
    <t>"Ausschank von Getränken"</t>
  </si>
  <si>
    <t>"56.30.1"</t>
  </si>
  <si>
    <t>"Schankwirtschaften"</t>
  </si>
  <si>
    <t>"56.30.2"</t>
  </si>
  <si>
    <t>"Diskotheken und Tanzlokale"</t>
  </si>
  <si>
    <t>"56.30.3"</t>
  </si>
  <si>
    <t>"Bars"</t>
  </si>
  <si>
    <t>"56.30.4"</t>
  </si>
  <si>
    <t>"Vergnügungslokale"</t>
  </si>
  <si>
    <t>"56.30.9"</t>
  </si>
  <si>
    <t>"Sonstige getränkegeprägte Gastronomie"</t>
  </si>
  <si>
    <t>"Information und Kommunikation"</t>
  </si>
  <si>
    <t>"Verlagswesen"</t>
  </si>
  <si>
    <t>"Verlegen von Büchern und Zeitschriften; sonstiges Verlagswesen (ohne Software)"</t>
  </si>
  <si>
    <t>"Verlegen von Büchern"</t>
  </si>
  <si>
    <t>"58.11.0"</t>
  </si>
  <si>
    <t>"Verlegen von Adressbüchern und Verzeichnissen"</t>
  </si>
  <si>
    <t>"58.12.0"</t>
  </si>
  <si>
    <t>"Verlegen von Zeitungen"</t>
  </si>
  <si>
    <t>"58.13.0"</t>
  </si>
  <si>
    <t>"Verlegen von Zeitschriften"</t>
  </si>
  <si>
    <t>"58.14.0"</t>
  </si>
  <si>
    <t>"Sonstiges Verlagswesen (ohne Software)"</t>
  </si>
  <si>
    <t>"58.19.0"</t>
  </si>
  <si>
    <t>"Verlegen von Software"</t>
  </si>
  <si>
    <t>"Verlegen von Computerspielen"</t>
  </si>
  <si>
    <t>"58.21.0"</t>
  </si>
  <si>
    <t>"Verlegen von sonstiger Software"</t>
  </si>
  <si>
    <t>"58.29.0"</t>
  </si>
  <si>
    <t>"Herstellung, Verleih und Vertrieb von Filmen und Fernsehprogrammen; Kinos; Tonstudios und Verlegen von Musik"</t>
  </si>
  <si>
    <t>"Herstellung von Filmen und Fernsehprogrammen, deren Verleih und Vertrieb; Kinos"</t>
  </si>
  <si>
    <t>"Herstellung von Filmen, Videofilmen und Fernsehprogrammen"</t>
  </si>
  <si>
    <t>"59.11.0"</t>
  </si>
  <si>
    <t>"Nachbearbeitung und sonstige Filmtechnik"</t>
  </si>
  <si>
    <t>"59.12.0"</t>
  </si>
  <si>
    <t>"Filmverleih und -vertrieb (ohne Videotheken)"</t>
  </si>
  <si>
    <t>"59.13.0"</t>
  </si>
  <si>
    <t>"Kinos"</t>
  </si>
  <si>
    <t>"59.14.0"</t>
  </si>
  <si>
    <t>"Tonstudios; Herstellung von Hörfunkbeiträgen; Verlegen von bespielten Tonträgern und Musikalien"</t>
  </si>
  <si>
    <t>"59.20.1"</t>
  </si>
  <si>
    <t>"Tonstudios und Herstellung von Hörfunkbeiträgen"</t>
  </si>
  <si>
    <t>"59.20.2"</t>
  </si>
  <si>
    <t>"Verlegen von bespielten Tonträgern"</t>
  </si>
  <si>
    <t>"59.20.3"</t>
  </si>
  <si>
    <t>"Verlegen von Musikalien"</t>
  </si>
  <si>
    <t>"Rundfunkveranstalter"</t>
  </si>
  <si>
    <t>"Hörfunkveranstalter"</t>
  </si>
  <si>
    <t>"60.10.0"</t>
  </si>
  <si>
    <t>"Fernsehveranstalter"</t>
  </si>
  <si>
    <t>"60.20.0"</t>
  </si>
  <si>
    <t>"Telekommunikation"</t>
  </si>
  <si>
    <t>"Leitungsgebundene Telekommunikation"</t>
  </si>
  <si>
    <t>"61.10.0"</t>
  </si>
  <si>
    <t>"Drahtlose Telekommunikation"</t>
  </si>
  <si>
    <t>"61.20.0"</t>
  </si>
  <si>
    <t>"Satellitentelekommunikation"</t>
  </si>
  <si>
    <t>"61.30.0"</t>
  </si>
  <si>
    <t>"Sonstige Telekommunikation"</t>
  </si>
  <si>
    <t>"61.90.1"</t>
  </si>
  <si>
    <t>"Internetserviceprovider"</t>
  </si>
  <si>
    <t>"61.90.9"</t>
  </si>
  <si>
    <t>"Sonstige Telekommunikation anderweitig nicht genannt"</t>
  </si>
  <si>
    <t>"Erbringung von Dienstleistungen der Informationstechnologie"</t>
  </si>
  <si>
    <t>"Programmierungstätigkeiten"</t>
  </si>
  <si>
    <t>"62.01.1"</t>
  </si>
  <si>
    <t>"Entwicklung und Programmierung von Internetpräsentationen"</t>
  </si>
  <si>
    <t>"62.01.9"</t>
  </si>
  <si>
    <t>"Sonstige Softwareentwicklung"</t>
  </si>
  <si>
    <t>"Erbringung von Beratungsleistungen auf dem Gebiet der Informationstechnologie"</t>
  </si>
  <si>
    <t>"62.02.0"</t>
  </si>
  <si>
    <t>"Betrieb von Datenverarbeitungseinrichtungen für Dritte"</t>
  </si>
  <si>
    <t>"62.03.0"</t>
  </si>
  <si>
    <t>"Erbringung von sonstigen Dienstleistungen der Informationstechnologie"</t>
  </si>
  <si>
    <t>"62.09.0"</t>
  </si>
  <si>
    <t>"Informationsdienstleistungen"</t>
  </si>
  <si>
    <t>"Datenverarbeitung, Hosting und damit verbundene Tätigkeiten; Webportale"</t>
  </si>
  <si>
    <t>"Datenverarbeitung, Hosting und damit verbundene Tätigkeiten"</t>
  </si>
  <si>
    <t>"63.11.0"</t>
  </si>
  <si>
    <t>"Webportale"</t>
  </si>
  <si>
    <t>"63.12.0"</t>
  </si>
  <si>
    <t>"Erbringung von sonstigen Informationsdienstleistungen"</t>
  </si>
  <si>
    <t>"Korrespondenz- und Nachrichtenbüros"</t>
  </si>
  <si>
    <t>"63.91.0"</t>
  </si>
  <si>
    <t>"Erbringung von sonstigen Informationsdienstleistungen anderweitig nicht genannt"</t>
  </si>
  <si>
    <t>"63.99.0"</t>
  </si>
  <si>
    <t>"Erbringung von Finanz- und Versicherungsdienstleistungen"</t>
  </si>
  <si>
    <t>"Erbringung von Finanzdienstleistungen"</t>
  </si>
  <si>
    <t>"Zentralbanken und Kreditinstitute"</t>
  </si>
  <si>
    <t>"Zentralbanken"</t>
  </si>
  <si>
    <t>"64.11.0"</t>
  </si>
  <si>
    <t>"Kreditinstitute (ohne Spezialkreditinstitute)"</t>
  </si>
  <si>
    <t>"64.19.1"</t>
  </si>
  <si>
    <t>"Kreditbanken einschließlich Zweigstellen ausländischer Banken"</t>
  </si>
  <si>
    <t>"64.19.2"</t>
  </si>
  <si>
    <t>"Kreditinstitute des Sparkassensektors"</t>
  </si>
  <si>
    <t>"64.19.3"</t>
  </si>
  <si>
    <t>"Kreditinstitute des Genossenschaftssektors"</t>
  </si>
  <si>
    <t>"64.19.4"</t>
  </si>
  <si>
    <t>"Realkreditinstitute"</t>
  </si>
  <si>
    <t>"64.19.5"</t>
  </si>
  <si>
    <t>"Kreditinstitute mit Sonderaufgaben"</t>
  </si>
  <si>
    <t>"64.19.6"</t>
  </si>
  <si>
    <t>"Bausparkassen"</t>
  </si>
  <si>
    <t>"Beteiligungsgesellschaften"</t>
  </si>
  <si>
    <t>"64.20.0"</t>
  </si>
  <si>
    <t>"Treuhand- und sonstige Fonds und ähnliche Finanzinstitutionen"</t>
  </si>
  <si>
    <t>"64.30.0"</t>
  </si>
  <si>
    <t>"Sonstige Finanzierungsinstitutionen"</t>
  </si>
  <si>
    <t>"Institutionen für Finanzierungsleasing"</t>
  </si>
  <si>
    <t>"64.91.0"</t>
  </si>
  <si>
    <t>"Spezialkreditinstitute"</t>
  </si>
  <si>
    <t>"64.92.1"</t>
  </si>
  <si>
    <t>"Spezialkreditinstitute (ohne Pfandkreditgeschäfte)"</t>
  </si>
  <si>
    <t>"64.92.2"</t>
  </si>
  <si>
    <t>"Leihhäuser"</t>
  </si>
  <si>
    <t>"Sonstige Finanzdienstleistungen anderweitig nicht genannt"</t>
  </si>
  <si>
    <t>"64.99.1"</t>
  </si>
  <si>
    <t>"Investmentaktiengesellschaften und Fonds von Kapitalanlagegesellschaften (ohne Geldmarktfonds)"</t>
  </si>
  <si>
    <t>"64.99.9"</t>
  </si>
  <si>
    <t>"Sonstige Finanzierungsinstitutionen anderweitig nicht genannt"</t>
  </si>
  <si>
    <t>"Versicherungen, Rückversicherungen und Pensionskassen (ohne Sozial-versicherung)"</t>
  </si>
  <si>
    <t>"Versicherungen"</t>
  </si>
  <si>
    <t>"Lebensversicherungen"</t>
  </si>
  <si>
    <t>"65.11.0"</t>
  </si>
  <si>
    <t>"Nichtlebensversicherungen"</t>
  </si>
  <si>
    <t>"65.12.1"</t>
  </si>
  <si>
    <t>"Krankenversicherungen"</t>
  </si>
  <si>
    <t>"65.12.2"</t>
  </si>
  <si>
    <t>"Schaden- und Unfallversicherungen"</t>
  </si>
  <si>
    <t>"Rückversicherungen"</t>
  </si>
  <si>
    <t>"65.20.0"</t>
  </si>
  <si>
    <t>"Pensionskassen und Pensionsfonds"</t>
  </si>
  <si>
    <t>"65.30.0"</t>
  </si>
  <si>
    <t>"Mit Finanz- und Versicherungsdienstleistungen verbundene Tätigkeiten"</t>
  </si>
  <si>
    <t>"Mit Finanzdienstleistungen verbundene Tätigkeiten"</t>
  </si>
  <si>
    <t>"Effekten- und Warenbörsen"</t>
  </si>
  <si>
    <t>"66.11.0"</t>
  </si>
  <si>
    <t>"Effekten- und Warenhandel"</t>
  </si>
  <si>
    <t>"66.12.0"</t>
  </si>
  <si>
    <t>"Sonstige mit Finanzdienstleistungen verbundene Tätigkeiten"</t>
  </si>
  <si>
    <t>"66.19.0"</t>
  </si>
  <si>
    <t>"Mit Versicherungsdienstleistungen und Pensionskassen verbundene Tätigkeiten"</t>
  </si>
  <si>
    <t>"Risiko- und Schadensbewertung"</t>
  </si>
  <si>
    <t>"66.21.0"</t>
  </si>
  <si>
    <t>"Tätigkeit von Versicherungsmaklerinnen und -maklern"</t>
  </si>
  <si>
    <t>"66.22.0"</t>
  </si>
  <si>
    <t>"Sonstige mit Versicherungsdienstleistungen und Pensionskassen verbundene Tätigkeiten"</t>
  </si>
  <si>
    <t>"66.29.0"</t>
  </si>
  <si>
    <t>"Fondsmanagement"</t>
  </si>
  <si>
    <t>"66.30.0"</t>
  </si>
  <si>
    <t>"Grundstücks- und Wohnungswesen"</t>
  </si>
  <si>
    <t>"Kauf und Verkauf von eigenen Grundstücken, Gebäuden und Wohnungen"</t>
  </si>
  <si>
    <t>"68.10.1"</t>
  </si>
  <si>
    <t>"Kauf und Verkauf von eigenen Wohngrundstücken, Wohngebäuden und Wohnungen"</t>
  </si>
  <si>
    <t>"68.10.2"</t>
  </si>
  <si>
    <t>"Kauf und Verkauf von eigenen Gewerbegrundstücken und Nichtwohngebäuden"</t>
  </si>
  <si>
    <t>"Vermietung, Verpachtung von eigenen oder geleasten Grundstücken, Gebäuden und Wohnungen"</t>
  </si>
  <si>
    <t>"68.20.1"</t>
  </si>
  <si>
    <t>"Vermietung, Verpachtung von eigenen oder geleasten Wohngrundstücken, Wohngebäuden und Wohnungen"</t>
  </si>
  <si>
    <t>"68.20.2"</t>
  </si>
  <si>
    <t>"Vermietung, Verpachtung von eigenen oder geleasten Gewerbegrundstücken und Nichtwohngebäuden"</t>
  </si>
  <si>
    <t>"Vermittlung und Verwaltung von Grundstücken, Gebäuden und Wohnungen für Dritte"</t>
  </si>
  <si>
    <t>"Vermittlung von Grundstücken, Gebäuden und Wohnungen für Dritte"</t>
  </si>
  <si>
    <t>"68.31.1"</t>
  </si>
  <si>
    <t>"Vermittlung von Wohngrundstücken, Wohngebäuden und Wohnungen für Dritte"</t>
  </si>
  <si>
    <t>"68.31.2"</t>
  </si>
  <si>
    <t>"Vermittlung von Gewerbegrundstücken und Nichtwohngebäuden für Dritte"</t>
  </si>
  <si>
    <t>"Verwaltung von Grundstücken, Gebäuden und Wohnungen für Dritte"</t>
  </si>
  <si>
    <t>"68.32.1"</t>
  </si>
  <si>
    <t>"Verwaltung von Wohngrundstücken, Wohngebäuden und Wohnungen für Dritte"</t>
  </si>
  <si>
    <t>"68.32.2"</t>
  </si>
  <si>
    <t>"Verwaltung von Gewerbegrundstücken und Nichtwohngebäuden für Dritte"</t>
  </si>
  <si>
    <t>"Erbringung von freiberuflichen, wissenschaftlichen und technischen Dienstleistungen"</t>
  </si>
  <si>
    <t>"Rechts- und Steuerberatung, Wirtschaftsprüfung"</t>
  </si>
  <si>
    <t>"Rechtsberatung"</t>
  </si>
  <si>
    <t>"69.10.1"</t>
  </si>
  <si>
    <t>"Rechtsanwaltskanzleien mit Notariat"</t>
  </si>
  <si>
    <t>"69.10.2"</t>
  </si>
  <si>
    <t>"Rechtsanwaltskanzleien ohne Notariat"</t>
  </si>
  <si>
    <t>"69.10.3"</t>
  </si>
  <si>
    <t>"Notariate"</t>
  </si>
  <si>
    <t>"69.10.4"</t>
  </si>
  <si>
    <t>"Patentanwaltskanzleien"</t>
  </si>
  <si>
    <t>"69.10.9"</t>
  </si>
  <si>
    <t>"Erbringung sonstiger juristischer Dienstleistungen anderweitig nicht genannt"</t>
  </si>
  <si>
    <t>"Wirtschaftsprüfung und Steuerberatung; Buchführung"</t>
  </si>
  <si>
    <t>"69.20.1"</t>
  </si>
  <si>
    <t>"Praxen von Wirtschaftsprüferinnen und -prüfern, Wirtschaftsprüfungs-gesellschaften"</t>
  </si>
  <si>
    <t>"69.20.2"</t>
  </si>
  <si>
    <t>"Praxen von vereidigten Buchprüferinnen und -prüfern, Buchprüfungs-gesellschaften"</t>
  </si>
  <si>
    <t>"69.20.3"</t>
  </si>
  <si>
    <t>"Praxen von Steuerbevollmächtigten, Steuerberaterinnen und -beratern, Steuerberatungsgesellschaften"</t>
  </si>
  <si>
    <t>"69.20.4"</t>
  </si>
  <si>
    <t>"Buchführung (ohne Datenverarbeitungsdienste)"</t>
  </si>
  <si>
    <t>"Verwaltung und Führung von Unternehmen und Betrieben; Unternehmens-beratung"</t>
  </si>
  <si>
    <t>"Verwaltung und Führung von Unternehmen und Betrieben"</t>
  </si>
  <si>
    <t>"70.10.1"</t>
  </si>
  <si>
    <t>"Managementtätigkeiten von Holdinggesellschaften"</t>
  </si>
  <si>
    <t>"70.10.9"</t>
  </si>
  <si>
    <t>"Sonstige Verwaltung und Führung von Unternehmen und Betrieben"</t>
  </si>
  <si>
    <t>"Public-Relations- und Unternehmensberatung"</t>
  </si>
  <si>
    <t>"Public-Relations-Beratung"</t>
  </si>
  <si>
    <t>"70.21.0"</t>
  </si>
  <si>
    <t>"Unternehmensberatung"</t>
  </si>
  <si>
    <t>"70.22.0"</t>
  </si>
  <si>
    <t>"Architektur- und Ingenieurbüros; technische, physikalische und chemische Untersuchung"</t>
  </si>
  <si>
    <t>"Architektur- und Ingenieurbüros"</t>
  </si>
  <si>
    <t>"Architekturbüros"</t>
  </si>
  <si>
    <t>"71.11.1"</t>
  </si>
  <si>
    <t>"Architekturbüros für Hochbau"</t>
  </si>
  <si>
    <t>"71.11.2"</t>
  </si>
  <si>
    <t>"Büros für Innenarchitektur"</t>
  </si>
  <si>
    <t>"71.11.3"</t>
  </si>
  <si>
    <t>"Architekturbüros für Orts-, Regional- und Landesplanung"</t>
  </si>
  <si>
    <t>"71.11.4"</t>
  </si>
  <si>
    <t>"Architekturbüros für Garten- und Landschaftsgestaltung"</t>
  </si>
  <si>
    <t>"Ingenieurbüros"</t>
  </si>
  <si>
    <t>"71.12.1"</t>
  </si>
  <si>
    <t>"Ingenieurbüros für bautechnische Gesamtplanung"</t>
  </si>
  <si>
    <t>"71.12.2"</t>
  </si>
  <si>
    <t>"Ingenieurbüros für technische Fachplanung und Ingenieurdesign"</t>
  </si>
  <si>
    <t>"71.12.3"</t>
  </si>
  <si>
    <t>"Vermessungsbüros"</t>
  </si>
  <si>
    <t>"71.12.9"</t>
  </si>
  <si>
    <t>"Sonstige Ingenieurbüros"</t>
  </si>
  <si>
    <t>"Technische, physikalische und chemische Untersuchung"</t>
  </si>
  <si>
    <t>"71.20.0"</t>
  </si>
  <si>
    <t>"Forschung und Entwicklung"</t>
  </si>
  <si>
    <t>"Forschung und Entwicklung im Bereich Natur-, Ingenieur-, Agrarwissenschaften und Medizin"</t>
  </si>
  <si>
    <t>"Forschung und Entwicklung im Bereich Biotechnologie"</t>
  </si>
  <si>
    <t>"72.11.0"</t>
  </si>
  <si>
    <t>"Sonstige Forschung und Entwicklung im Bereich Natur-, Ingenieur-, Agrarwissenschaften und Medizin"</t>
  </si>
  <si>
    <t>"72.19.0"</t>
  </si>
  <si>
    <t>"Forschung und Entwicklung im Bereich Rechts-, Wirtschafts- und Sozialwissenschaften sowie im Bereich Sprach-, Kultur- und Kunstwissenschaften"</t>
  </si>
  <si>
    <t>"72.20.0"</t>
  </si>
  <si>
    <t>"Werbung und Marktforschung"</t>
  </si>
  <si>
    <t>"Werbung"</t>
  </si>
  <si>
    <t>"Werbeagenturen"</t>
  </si>
  <si>
    <t>"73.11.0"</t>
  </si>
  <si>
    <t>"Vermarktung und Vermittlung von Werbezeiten und Werbeflächen"</t>
  </si>
  <si>
    <t>"73.12.0"</t>
  </si>
  <si>
    <t>"Markt- und Meinungsforschung"</t>
  </si>
  <si>
    <t>"73.20.0"</t>
  </si>
  <si>
    <t>"Sonstige freiberufliche, wissenschaftliche und technische Tätigkeiten"</t>
  </si>
  <si>
    <t>"Ateliers für Textil-, Schmuck-, Grafik- u. ä. Design"</t>
  </si>
  <si>
    <t>"74.10.1"</t>
  </si>
  <si>
    <t>"Industrie-, Produkt- und Mode-Design"</t>
  </si>
  <si>
    <t>"74.10.2"</t>
  </si>
  <si>
    <t>"Grafik- und Kommunikationsdesign"</t>
  </si>
  <si>
    <t>"74.10.3"</t>
  </si>
  <si>
    <t>"Interior Design und Raumgestaltung"</t>
  </si>
  <si>
    <t>"Fotografie und Fotolabors"</t>
  </si>
  <si>
    <t>"74.20.1"</t>
  </si>
  <si>
    <t>"Fotografie"</t>
  </si>
  <si>
    <t>"74.20.2"</t>
  </si>
  <si>
    <t>"Fotolabors"</t>
  </si>
  <si>
    <t>"Übersetzen und Dolmetschen"</t>
  </si>
  <si>
    <t>"74.30.1"</t>
  </si>
  <si>
    <t>"Übersetzen"</t>
  </si>
  <si>
    <t>"74.30.2"</t>
  </si>
  <si>
    <t>"Dolmetschen"</t>
  </si>
  <si>
    <t>"Sonstige freiberufliche, wissenschaftliche und technische Tätigkeiten anderweitig nicht genannt"</t>
  </si>
  <si>
    <t>"74.90.0"</t>
  </si>
  <si>
    <t>"Veterinärwesen"</t>
  </si>
  <si>
    <t>"75.00.1"</t>
  </si>
  <si>
    <t>"Tierarztpraxen"</t>
  </si>
  <si>
    <t>"75.00.9"</t>
  </si>
  <si>
    <t>"Sonstiges Veterinärwesen"</t>
  </si>
  <si>
    <t>"Erbringung von sonstigen wirtschaftlichen Dienstleistungen"</t>
  </si>
  <si>
    <t>"Vermietung von beweglichen Sachen"</t>
  </si>
  <si>
    <t>"Vermietung von Kraftwagen"</t>
  </si>
  <si>
    <t>"Vermietung von Kraftwagen mit einem Gesamtgewicht von 3,5 t oder weniger"</t>
  </si>
  <si>
    <t>"77.11.0"</t>
  </si>
  <si>
    <t>"Vermietung von Kraftwagen mit einem Gesamtgewicht von mehr als 3,5 t"</t>
  </si>
  <si>
    <t>"77.12.0"</t>
  </si>
  <si>
    <t>"Vermietung von Gebrauchsgütern"</t>
  </si>
  <si>
    <t>"Vermietung von Sport- und Freizeitgeräten"</t>
  </si>
  <si>
    <t>"77.21.0"</t>
  </si>
  <si>
    <t>"Videotheken"</t>
  </si>
  <si>
    <t>"77.22.0"</t>
  </si>
  <si>
    <t>"Vermietung von sonstigen Gebrauchsgütern"</t>
  </si>
  <si>
    <t>"77.29.0"</t>
  </si>
  <si>
    <t>"Vermietung von Maschinen, Geräten und sonstigen beweglichen Sachen"</t>
  </si>
  <si>
    <t>"Vermietung von landwirtschaftlichen Maschinen und Geräten"</t>
  </si>
  <si>
    <t>"77.31.0"</t>
  </si>
  <si>
    <t>"Vermietung von Baumaschinen und -geräten"</t>
  </si>
  <si>
    <t>"77.32.0"</t>
  </si>
  <si>
    <t>"Vermietung von Büromaschinen, Datenverarbeitungsgeräten und -einrichtungen"</t>
  </si>
  <si>
    <t>"77.33.0"</t>
  </si>
  <si>
    <t>"Vermietung von Wasserfahrzeugen"</t>
  </si>
  <si>
    <t>"77.34.0"</t>
  </si>
  <si>
    <t>"Vermietung von Luftfahrzeugen"</t>
  </si>
  <si>
    <t>"77.35.0"</t>
  </si>
  <si>
    <t>"Vermietung von sonstigen Maschinen, Geräten und beweglichen Sachen anderweitig nicht genannt"</t>
  </si>
  <si>
    <t>"77.39.0"</t>
  </si>
  <si>
    <t>"Leasing von nichtfinanziellen immateriellen Vermögensgegenständen (ohne Copyrights)"</t>
  </si>
  <si>
    <t>"77.40.0"</t>
  </si>
  <si>
    <t>"Vermittlung und Überlassung von Arbeitskräften"</t>
  </si>
  <si>
    <t>"Vermittlung von Arbeitskräften"</t>
  </si>
  <si>
    <t>"78.10.0"</t>
  </si>
  <si>
    <t>"Befristete Überlassung von Arbeitskräften"</t>
  </si>
  <si>
    <t>"78.20.0"</t>
  </si>
  <si>
    <t>"Sonstige Überlassung von Arbeitskräften"</t>
  </si>
  <si>
    <t>"78.30.0"</t>
  </si>
  <si>
    <t>"Reisebüros, Reiseveranstalter und Erbringung sonstiger Reservierungsdienstleistungen"</t>
  </si>
  <si>
    <t>"Reisebüros und Reiseveranstalter"</t>
  </si>
  <si>
    <t>"Reisebüros"</t>
  </si>
  <si>
    <t>"79.11.0"</t>
  </si>
  <si>
    <t>"Reiseveranstalter"</t>
  </si>
  <si>
    <t>"79.12.0"</t>
  </si>
  <si>
    <t>"Erbringung sonstiger Reservierungsdienstleistungen"</t>
  </si>
  <si>
    <t>"79.90.0"</t>
  </si>
  <si>
    <t>"Wach- und Sicherheitsdienste sowie Detekteien"</t>
  </si>
  <si>
    <t>"Private Wach- und Sicherheitsdienste"</t>
  </si>
  <si>
    <t>"80.10.0"</t>
  </si>
  <si>
    <t>"Sicherheitsdienste mithilfe von Überwachungs- und Alarmsystemen"</t>
  </si>
  <si>
    <t>"80.20.0"</t>
  </si>
  <si>
    <t>"Detekteien"</t>
  </si>
  <si>
    <t>"80.30.0"</t>
  </si>
  <si>
    <t>"Gebäudebetreuung; Garten- und Landschaftsbau"</t>
  </si>
  <si>
    <t>"Hausmeisterdienste"</t>
  </si>
  <si>
    <t>"81.10.0"</t>
  </si>
  <si>
    <t>"Reinigung von Gebäuden, Straßen und Verkehrsmitteln"</t>
  </si>
  <si>
    <t>"Allgemeine Gebäudereinigung"</t>
  </si>
  <si>
    <t>"81.21.0"</t>
  </si>
  <si>
    <t>"Spezielle Reinigung von Gebäuden und Reinigung von Maschinen"</t>
  </si>
  <si>
    <t>"81.22.1"</t>
  </si>
  <si>
    <t>"Schornsteinreinigung"</t>
  </si>
  <si>
    <t>"81.22.9"</t>
  </si>
  <si>
    <t>"Sonstige spezielle Reinigung von Gebäuden und Maschinen"</t>
  </si>
  <si>
    <t>"Reinigung anderweitig nicht genannt"</t>
  </si>
  <si>
    <t>"81.29.1"</t>
  </si>
  <si>
    <t>"Reinigung von Verkehrsmitteln"</t>
  </si>
  <si>
    <t>"81.29.2"</t>
  </si>
  <si>
    <t>"Desinfektion und Schädlingsbekämpfung"</t>
  </si>
  <si>
    <t>"81.29.9"</t>
  </si>
  <si>
    <t>"Sonstige Reinigung anderweitig nicht genannt"</t>
  </si>
  <si>
    <t>"Garten- und Landschaftsbau sowie Erbringung von sonstigen gärtnerischen Dienstleistungen"</t>
  </si>
  <si>
    <t>"81.30.1"</t>
  </si>
  <si>
    <t>"Garten- und Landschaftsbau"</t>
  </si>
  <si>
    <t>"81.30.9"</t>
  </si>
  <si>
    <t>"Erbringung von sonstigen gärtnerischen Dienstleistungen"</t>
  </si>
  <si>
    <t>"Erbringung von wirtschaftlichen Dienstleistungen für Unternehmen und Privatpersonen anderweitig nicht genannt"</t>
  </si>
  <si>
    <t>"Sekretariats- und Schreibdienste, Copy-Shops"</t>
  </si>
  <si>
    <t>"Allgemeine Sekretariats- und Schreibdienste"</t>
  </si>
  <si>
    <t>"82.11.0"</t>
  </si>
  <si>
    <t>"Copy-Shops; Dokumentenvorbereitung und Erbringung sonstiger spezieller Sekretariatsdienste"</t>
  </si>
  <si>
    <t>"82.19.0"</t>
  </si>
  <si>
    <t>"Call Centers"</t>
  </si>
  <si>
    <t>"82.20.0"</t>
  </si>
  <si>
    <t>"Call Center"</t>
  </si>
  <si>
    <t>"Messe-, Ausstellungs- und Kongressveranstalter"</t>
  </si>
  <si>
    <t>"82.30.0"</t>
  </si>
  <si>
    <t>"Erbringung sonstiger wirtschaftlicher Dienstleistungen für Unternehmen und Privatpersonen"</t>
  </si>
  <si>
    <t>"Inkassobüros und Auskunfteien"</t>
  </si>
  <si>
    <t>"82.91.1"</t>
  </si>
  <si>
    <t>"Inkassobüros"</t>
  </si>
  <si>
    <t>"82.91.2"</t>
  </si>
  <si>
    <t>"Auskunfteien"</t>
  </si>
  <si>
    <t>"Abfüllen und Verpacken"</t>
  </si>
  <si>
    <t>"82.92.0"</t>
  </si>
  <si>
    <t>"Erbringung sonstiger wirtschaftlicher Dienstleistungen für Unternehmen und Privatpersonen anderweitig nicht genannt"</t>
  </si>
  <si>
    <t>"82.99.1"</t>
  </si>
  <si>
    <t>"Versteigerungsgewerbe"</t>
  </si>
  <si>
    <t>"82.99.9"</t>
  </si>
  <si>
    <t>"Erbringung von anderen wirtschaftlichen Dienstleistungen für Unternehmen und Privatpersonen anderweitig nicht genannt"</t>
  </si>
  <si>
    <t>"Öffentliche Verwaltung, Verteidigung; Sozialversicherung"</t>
  </si>
  <si>
    <t>"Öffentliche Verwaltung"</t>
  </si>
  <si>
    <t>"Allgemeine öffentliche Verwaltung"</t>
  </si>
  <si>
    <t>"84.11.0"</t>
  </si>
  <si>
    <t>"Öffentliche Verwaltung auf den Gebieten Gesundheitswesen, Bildung, Kultur und Sozialwesen"</t>
  </si>
  <si>
    <t>"84.12.0"</t>
  </si>
  <si>
    <t>"Wirtschaftsförderung, -ordnung und -aufsicht"</t>
  </si>
  <si>
    <t>"84.13.0"</t>
  </si>
  <si>
    <t>"Auswärtige Angelegenheiten, Verteidigung, Rechtspflege, öffentliche Sicherheit und Ordnung"</t>
  </si>
  <si>
    <t>"Auswärtige Angelegenheiten"</t>
  </si>
  <si>
    <t>"84.21.0"</t>
  </si>
  <si>
    <t>"Verteidigung"</t>
  </si>
  <si>
    <t>"84.22.0"</t>
  </si>
  <si>
    <t>"Rechtspflege"</t>
  </si>
  <si>
    <t>"84.23.0"</t>
  </si>
  <si>
    <t>"Öffentliche Sicherheit und Ordnung"</t>
  </si>
  <si>
    <t>"84.24.0"</t>
  </si>
  <si>
    <t>"Feuerwehren"</t>
  </si>
  <si>
    <t>"84.25.0"</t>
  </si>
  <si>
    <t>"Sozialversicherung"</t>
  </si>
  <si>
    <t>"84.30.0"</t>
  </si>
  <si>
    <t>"Erziehung und Unterricht"</t>
  </si>
  <si>
    <t>"Kindergärten und Vorschulen"</t>
  </si>
  <si>
    <t>"85.10.1"</t>
  </si>
  <si>
    <t>"Kindergärten"</t>
  </si>
  <si>
    <t>"85.10.2"</t>
  </si>
  <si>
    <t>"Vorklassen, Schulkindergärten"</t>
  </si>
  <si>
    <t>"Grundschulen"</t>
  </si>
  <si>
    <t>"85.20.0"</t>
  </si>
  <si>
    <t>"Weiterführende Schulen"</t>
  </si>
  <si>
    <t>"Allgemein bildende weiterführende Schulen"</t>
  </si>
  <si>
    <t>"85.31.1"</t>
  </si>
  <si>
    <t>"Allgemein bildende weiterführende Schulen Sekundarbereich I"</t>
  </si>
  <si>
    <t>"85.31.2"</t>
  </si>
  <si>
    <t>"Allgemein bildende weiterführende Schulen Sekundarbereich II"</t>
  </si>
  <si>
    <t>"Berufsbildende weiterführende Schulen"</t>
  </si>
  <si>
    <t>"85.32.0"</t>
  </si>
  <si>
    <t>"Tertiärer und post-sekundärer, nicht tertiärer Unterricht"</t>
  </si>
  <si>
    <t>"Post-sekundärer, nicht tertiärer Unterricht"</t>
  </si>
  <si>
    <t>"85.41.0"</t>
  </si>
  <si>
    <t>"Tertiärer Unterricht"</t>
  </si>
  <si>
    <t>"85.42.1"</t>
  </si>
  <si>
    <t>"Universitäten"</t>
  </si>
  <si>
    <t>"85.42.2"</t>
  </si>
  <si>
    <t>"Allgemeine Fachhochschulen"</t>
  </si>
  <si>
    <t>"85.42.3"</t>
  </si>
  <si>
    <t>"Verwaltungsfachhochschulen"</t>
  </si>
  <si>
    <t>"85.42.4"</t>
  </si>
  <si>
    <t>"Berufsakademien, Fachakademien, Schulen des Gesundheitswesens"</t>
  </si>
  <si>
    <t>"Sonstiger Unterricht"</t>
  </si>
  <si>
    <t>"Sport- und Freizeitunterricht"</t>
  </si>
  <si>
    <t>"85.51.0"</t>
  </si>
  <si>
    <t>"Kulturunterricht"</t>
  </si>
  <si>
    <t>"85.52.0"</t>
  </si>
  <si>
    <t>"Fahr- und Flugschulen"</t>
  </si>
  <si>
    <t>"85.53.0"</t>
  </si>
  <si>
    <t>"Sonstiger Unterricht anderweitig nicht genannt"</t>
  </si>
  <si>
    <t>"85.59.1"</t>
  </si>
  <si>
    <t>"Allgemeine und politische Erwachsenenbildung"</t>
  </si>
  <si>
    <t>"85.59.2"</t>
  </si>
  <si>
    <t>"Berufliche Erwachsenenbildung"</t>
  </si>
  <si>
    <t>"85.59.9"</t>
  </si>
  <si>
    <t>"Unterricht anderweitig nicht genannt"</t>
  </si>
  <si>
    <t>"Erbringung von Dienstleistungen für den Unterricht"</t>
  </si>
  <si>
    <t>"85.60.0"</t>
  </si>
  <si>
    <t>"Gesundheits- und Sozialwesen"</t>
  </si>
  <si>
    <t>"Gesundheitswesen"</t>
  </si>
  <si>
    <t>"Krankenhäuser"</t>
  </si>
  <si>
    <t>"86.10.1"</t>
  </si>
  <si>
    <t>"Krankenhäuser (ohne Hochschulkliniken, Vorsorge- und Rehabilitationskliniken)"</t>
  </si>
  <si>
    <t>"86.10.2"</t>
  </si>
  <si>
    <t>"Hochschulkliniken"</t>
  </si>
  <si>
    <t>"86.10.3"</t>
  </si>
  <si>
    <t>"Vorsorge- und Rehabilitationskliniken"</t>
  </si>
  <si>
    <t>"Arzt- und Zahnarztpraxen"</t>
  </si>
  <si>
    <t>"Arztpraxen für Allgemeinmedizin"</t>
  </si>
  <si>
    <t>"86.21.0"</t>
  </si>
  <si>
    <t>"Facharztpraxen"</t>
  </si>
  <si>
    <t>"86.22.0"</t>
  </si>
  <si>
    <t>"Zahnarztpraxen"</t>
  </si>
  <si>
    <t>"86.23.0"</t>
  </si>
  <si>
    <t>"Gesundheitswesen anderweitig nicht genannt"</t>
  </si>
  <si>
    <t>"86.90.1"</t>
  </si>
  <si>
    <t>"Praxen von psychologischen Psychotherapeutinnen und -therapeuten"</t>
  </si>
  <si>
    <t>"86.90.2"</t>
  </si>
  <si>
    <t>"Massagepraxen, Krankengymnastikpraxen, Praxen von medizinischen Bademeisterinnen und Bademeistern, Hebammen und Entbindungspflegern sowie von verwandten Berufen"</t>
  </si>
  <si>
    <t>"86.90.3"</t>
  </si>
  <si>
    <t>"Heilpraktikerpraxen"</t>
  </si>
  <si>
    <t>"86.90.9"</t>
  </si>
  <si>
    <t>"Sonstige selbstständige Tätigkeiten im Gesundheitswesen"</t>
  </si>
  <si>
    <t>"Heime (ohne Erholungs- und Ferienheime)"</t>
  </si>
  <si>
    <t>"Pflegeheime"</t>
  </si>
  <si>
    <t>"87.10.0"</t>
  </si>
  <si>
    <t>"Stationäre Einrichtungen zur psychosozialen Betreuung, Suchtbekämpfung u. Ä."</t>
  </si>
  <si>
    <t>"87.20.0"</t>
  </si>
  <si>
    <t>"Altenheime; Alten- und Behindertenwohnheime"</t>
  </si>
  <si>
    <t>"87.30.0"</t>
  </si>
  <si>
    <t>"Sonstige Heime (ohne Erholungs- und Ferienheime)"</t>
  </si>
  <si>
    <t>"87.90.0"</t>
  </si>
  <si>
    <t>"Sozialwesen (ohne Heime)"</t>
  </si>
  <si>
    <t>"Soziale Betreuung älterer Menschen und Behinderter"</t>
  </si>
  <si>
    <t>"88.10.1"</t>
  </si>
  <si>
    <t>"Ambulante soziale Dienste"</t>
  </si>
  <si>
    <t>"88.10.2"</t>
  </si>
  <si>
    <t>"Sonstige soziale Betreuung älterer Menschen und Behinderter"</t>
  </si>
  <si>
    <t>"Sonstiges Sozialwesen (ohne Heime)"</t>
  </si>
  <si>
    <t>"Tagesbetreuung von Kindern"</t>
  </si>
  <si>
    <t>"88.91.0"</t>
  </si>
  <si>
    <t>"Sonstiges Sozialwesen anderweitig nicht genannt"</t>
  </si>
  <si>
    <t>"88.99.0"</t>
  </si>
  <si>
    <t>"Kunst, Unterhaltung und Erholung"</t>
  </si>
  <si>
    <t>"Kreative, künstlerische und unterhaltende Tätigkeiten"</t>
  </si>
  <si>
    <t>"Darstellende Kunst"</t>
  </si>
  <si>
    <t>"90.01.1"</t>
  </si>
  <si>
    <t>"Theaterensembles"</t>
  </si>
  <si>
    <t>"90.01.2"</t>
  </si>
  <si>
    <t>"Ballettgruppen, Orchester, Kapellen und Chöre"</t>
  </si>
  <si>
    <t>"90.01.3"</t>
  </si>
  <si>
    <t>"Selbstständige Artistinnen und Artisten, Zirkusgruppen"</t>
  </si>
  <si>
    <t>"90.01.4"</t>
  </si>
  <si>
    <t>"Selbstständige Bühnen-, Film-, Hörfunk- und Fernsehkünstlerinnen und -künstler sowie sonstige darstellende Kunst"</t>
  </si>
  <si>
    <t>"Erbringung von Dienstleistungen für die darstellende Kunst"</t>
  </si>
  <si>
    <t>"90.02.0"</t>
  </si>
  <si>
    <t>"Künstlerisches und schriftstellerisches Schaffen"</t>
  </si>
  <si>
    <t>"90.03.1"</t>
  </si>
  <si>
    <t>"Selbstständige Komponistinnen, Komponisten, Musikbearbeiterinnen und Musikbearbeiter"</t>
  </si>
  <si>
    <t>"90.03.2"</t>
  </si>
  <si>
    <t>"Selbstständige Schriftstellerinnen und Schriftsteller"</t>
  </si>
  <si>
    <t>"90.03.3"</t>
  </si>
  <si>
    <t>"Selbstständige bildende Künstlerinnen und Künstler"</t>
  </si>
  <si>
    <t>"90.03.4"</t>
  </si>
  <si>
    <t>"Selbstständige Restauratorinnen und Restauratoren"</t>
  </si>
  <si>
    <t>"90.03.5"</t>
  </si>
  <si>
    <t>"Selbstständige Journalistinnen und Journalisten, Pressefotografinnen und Pressefotografen"</t>
  </si>
  <si>
    <t>"Betrieb von Kultur- und Unterhaltungseinrichtungen"</t>
  </si>
  <si>
    <t>"90.04.1"</t>
  </si>
  <si>
    <t>"Theater- und Konzertveranstalter"</t>
  </si>
  <si>
    <t>"90.04.2"</t>
  </si>
  <si>
    <t>"Opern- und Schauspielhäuser, Konzerthallen und ähnliche Einrichtungen"</t>
  </si>
  <si>
    <t>"90.04.3"</t>
  </si>
  <si>
    <t>"Varietés und Kleinkunstbühnen"</t>
  </si>
  <si>
    <t>"Bibliotheken, Archive, Museen, botanische und zoologische Gärten"</t>
  </si>
  <si>
    <t>"Bibliotheken und Archive"</t>
  </si>
  <si>
    <t>"91.01.0"</t>
  </si>
  <si>
    <t>"Museen"</t>
  </si>
  <si>
    <t>"91.02.0"</t>
  </si>
  <si>
    <t>"Betrieb von historischen Stätten und Gebäuden und ähnlichen Attraktionen"</t>
  </si>
  <si>
    <t>"91.03.0"</t>
  </si>
  <si>
    <t>"Botanische und zoologische Gärten sowie Naturparks"</t>
  </si>
  <si>
    <t>"91.04.0"</t>
  </si>
  <si>
    <t>"Spiel-, Wett- und Lotteriewesen"</t>
  </si>
  <si>
    <t>"92.00.1"</t>
  </si>
  <si>
    <t>"Spielhallen und Betrieb von Spielautomaten"</t>
  </si>
  <si>
    <t>"92.00.2"</t>
  </si>
  <si>
    <t>"Spielbanken und Spielklubs"</t>
  </si>
  <si>
    <t>"92.00.3"</t>
  </si>
  <si>
    <t>"Wett-, Toto- und Lotteriewesen"</t>
  </si>
  <si>
    <t>"Erbringung von Dienstleistungen des Sports, der Unterhaltung und der Erholung"</t>
  </si>
  <si>
    <t>"Erbringung von Dienstleistungen des Sports"</t>
  </si>
  <si>
    <t>"Betrieb von Sportanlagen"</t>
  </si>
  <si>
    <t>"93.11.0"</t>
  </si>
  <si>
    <t>"Sportvereine"</t>
  </si>
  <si>
    <t>"93.12.0"</t>
  </si>
  <si>
    <t>"Fitnesszentren"</t>
  </si>
  <si>
    <t>"93.13.0"</t>
  </si>
  <si>
    <t>"Erbringung von sonstigen Dienstleistungen des Sports"</t>
  </si>
  <si>
    <t>"93.19.0"</t>
  </si>
  <si>
    <t>"Erbringung von sonstigen Dienstleistungen der Unterhaltung und der Erholung"</t>
  </si>
  <si>
    <t>"Vergnügungs- und Themenparks"</t>
  </si>
  <si>
    <t>"93.21.0"</t>
  </si>
  <si>
    <t>"Erbringung von Dienstleistungen der Unterhaltung und der Erholung anderweitig nicht genannt"</t>
  </si>
  <si>
    <t>"93.29.0"</t>
  </si>
  <si>
    <t>"Erbringung von sonstigen Dienstleistungen"</t>
  </si>
  <si>
    <t>"Interessenvertretungen sowie kirchliche und sonstige religiöse Vereinigungen (ohne Sozialwesen und Sport)"</t>
  </si>
  <si>
    <t>"Wirtschafts- und Arbeitgeberverbände, Berufsorganisationen"</t>
  </si>
  <si>
    <t>"Wirtschafts- und Arbeitgeberverbände"</t>
  </si>
  <si>
    <t>"94.11.0"</t>
  </si>
  <si>
    <t>"Berufsorganisationen"</t>
  </si>
  <si>
    <t>"94.12.0"</t>
  </si>
  <si>
    <t>"Arbeitnehmervereinigungen"</t>
  </si>
  <si>
    <t>"94.20.0"</t>
  </si>
  <si>
    <t>"Kirchliche Vereinigungen; politische Parteien sowie sonstige Interessenvertretungen und Vereinigungen anderweitig nicht genannt"</t>
  </si>
  <si>
    <t>"Kirchliche und sonstige religiöse Vereinigungen"</t>
  </si>
  <si>
    <t>"94.91.0"</t>
  </si>
  <si>
    <t>"Politische Parteien und Vereinigungen"</t>
  </si>
  <si>
    <t>"94.92.0"</t>
  </si>
  <si>
    <t>"Sonstige Interessenvertretungen und Vereinigungen anderweitig nicht genannt"</t>
  </si>
  <si>
    <t>"94.99.1"</t>
  </si>
  <si>
    <t>"Organisationen der Bildung, Wissenschaft und Forschung"</t>
  </si>
  <si>
    <t>"94.99.2"</t>
  </si>
  <si>
    <t>"Organisationen der Kultur"</t>
  </si>
  <si>
    <t>"94.99.3"</t>
  </si>
  <si>
    <t>"Verbraucherorganisationen"</t>
  </si>
  <si>
    <t>"94.99.4"</t>
  </si>
  <si>
    <t>"Jugendorganisationen"</t>
  </si>
  <si>
    <t>"94.99.9"</t>
  </si>
  <si>
    <t>"Interessenvertretungen und Vereinigungen anderweitig nicht genannt"</t>
  </si>
  <si>
    <t>"Reparatur von Datenverarbeitungsgeräten und Gebrauchsgütern"</t>
  </si>
  <si>
    <t>"Reparatur von Datenverarbeitungs- und Telekommunikationsgeräten"</t>
  </si>
  <si>
    <t>"Reparatur von Datenverarbeitungsgeräten und peripheren Geräten"</t>
  </si>
  <si>
    <t>"95.11.0"</t>
  </si>
  <si>
    <t>"Reparatur von Telekommunikationsgeräten"</t>
  </si>
  <si>
    <t>"95.12.0"</t>
  </si>
  <si>
    <t>"Reparatur von Gebrauchsgütern"</t>
  </si>
  <si>
    <t>"Reparatur von Geräten der Unterhaltungselektronik"</t>
  </si>
  <si>
    <t>"95.21.0"</t>
  </si>
  <si>
    <t>"Reparatur von elektrischen Haushaltsgeräten und Gartengeräten"</t>
  </si>
  <si>
    <t>"95.22.0"</t>
  </si>
  <si>
    <t>"Reparatur von Schuhen und Lederwaren"</t>
  </si>
  <si>
    <t>"95.23.0"</t>
  </si>
  <si>
    <t>"Reparatur von Möbeln und Einrichtungsgegenständen"</t>
  </si>
  <si>
    <t>"95.24.0"</t>
  </si>
  <si>
    <t>"Reparatur von Uhren und Schmuck"</t>
  </si>
  <si>
    <t>"95.25.0"</t>
  </si>
  <si>
    <t>"Reparatur von sonstigen Gebrauchsgütern"</t>
  </si>
  <si>
    <t>"95.29.0"</t>
  </si>
  <si>
    <t>"Erbringung von sonstigen überwiegend persönlichen Dienstleistungen"</t>
  </si>
  <si>
    <t>"Wäscherei und chemische Reinigung"</t>
  </si>
  <si>
    <t>"96.01.0"</t>
  </si>
  <si>
    <t>"Frisör- und Kosmetiksalons"</t>
  </si>
  <si>
    <t>"96.02.1"</t>
  </si>
  <si>
    <t>"Frisörsalons"</t>
  </si>
  <si>
    <t>"96.02.2"</t>
  </si>
  <si>
    <t>"Kosmetiksalons"</t>
  </si>
  <si>
    <t>"Bestattungswesen"</t>
  </si>
  <si>
    <t>"96.03.1"</t>
  </si>
  <si>
    <t>"Bestattungsinstitute"</t>
  </si>
  <si>
    <t>"96.03.2"</t>
  </si>
  <si>
    <t>"Friedhöfe und Krematorien"</t>
  </si>
  <si>
    <t>"Saunas, Solarien, Bäder u. Ä."</t>
  </si>
  <si>
    <t>"96.04.0"</t>
  </si>
  <si>
    <t>"Erbringung von sonstigen Dienstleistungen anderweitig nicht genannt"</t>
  </si>
  <si>
    <t>"96.09.0"</t>
  </si>
  <si>
    <t>"Private Haushalte mit Hauspersonal; Herstellung von Waren und Erbringung von Dienstleistungen durch private Haushalte für den Eigenbedarf ohne ausgeprägten Schwerpunkt"</t>
  </si>
  <si>
    <t>"Private Haushalte mit Hauspersonal"</t>
  </si>
  <si>
    <t>"97.00.0"</t>
  </si>
  <si>
    <t>"Herstellung von Waren und Erbringung von Dienstleistungen durch private Haushalte für den Eigenbedarf ohne ausgeprägten Schwerpunkt"</t>
  </si>
  <si>
    <t>"Herstellung von Waren durch private Haushalte für den Eigenbedarf ohne ausgeprägten Schwerpunkt"</t>
  </si>
  <si>
    <t>"98.10.0"</t>
  </si>
  <si>
    <t>"Erbringungen von Dienstleistungen durch private Haushalte für den Eigenbedarf ohne ausgeprägten Schwerpunkt"</t>
  </si>
  <si>
    <t>"98.20.0"</t>
  </si>
  <si>
    <t>"Exterritoriale Organisationen und Körperschaften"</t>
  </si>
  <si>
    <t>"99.00.0"</t>
  </si>
  <si>
    <t>register</t>
  </si>
  <si>
    <t>RegisterInformation</t>
  </si>
  <si>
    <t>registerType</t>
  </si>
  <si>
    <t>registerTypeDescription</t>
  </si>
  <si>
    <t>registerLocation</t>
  </si>
  <si>
    <t>registerNumber</t>
  </si>
  <si>
    <t>companyRegisterId</t>
  </si>
  <si>
    <t>companyRegisterIdCountry</t>
  </si>
  <si>
    <t>What's the difference to activity (branche).</t>
  </si>
  <si>
    <t>There is a separate EAA for LEI. If required for KYC then encapsulated in own class.</t>
  </si>
  <si>
    <t>xsd:Date - Which balance sheet is meant.</t>
  </si>
  <si>
    <t>Fokusrechtseinheit.wirtschaftlichBerechtigte.transparenzregister[].person.domicile</t>
  </si>
  <si>
    <t>xsd:string</t>
  </si>
  <si>
    <t>Shareholding - Why is a general partner holding a share? Where is the limited partner?</t>
  </si>
  <si>
    <t>BeneficialOwnershipVariant (explaination needed for method cdd)</t>
  </si>
  <si>
    <t>BeneficialOwnershipVariant (explaination needed for method standard)</t>
  </si>
  <si>
    <t>TransparencyRegisterEntry - unclear relation to transparency register exctract</t>
  </si>
  <si>
    <t>TransparencyRegisterExtract -unclear relation to transparencyRegister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</si>
</sst>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7" fillId="4" borderId="0"/>
    <xf numFmtId="0" fontId="8" fillId="6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3" fillId="0" borderId="0" xfId="0" applyFont="1"/>
    <xf numFmtId="0" fontId="0" fillId="0" borderId="0" xfId="0" quotePrefix="1"/>
    <xf numFmtId="0" fontId="4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4" xfId="0" applyBorder="1"/>
    <xf numFmtId="0" fontId="5" fillId="0" borderId="0" xfId="0" applyFont="1"/>
    <xf numFmtId="0" fontId="2" fillId="0" borderId="0" xfId="0" applyFont="1"/>
    <xf numFmtId="0" fontId="1" fillId="0" borderId="5" xfId="0" applyFont="1" applyBorder="1"/>
    <xf numFmtId="49" fontId="0" fillId="0" borderId="4" xfId="0" applyNumberFormat="1" applyBorder="1"/>
    <xf numFmtId="49" fontId="3" fillId="0" borderId="6" xfId="0" applyNumberFormat="1" applyFont="1" applyBorder="1"/>
    <xf numFmtId="0" fontId="3" fillId="0" borderId="6" xfId="0" applyFont="1" applyBorder="1"/>
    <xf numFmtId="0" fontId="6" fillId="0" borderId="0" xfId="0" applyFont="1"/>
    <xf numFmtId="0" fontId="3" fillId="0" borderId="0" xfId="1" applyFont="1" applyFill="1"/>
    <xf numFmtId="0" fontId="0" fillId="0" borderId="4" xfId="0" applyBorder="1" applyAlignment="1">
      <alignment wrapText="1"/>
    </xf>
    <xf numFmtId="0" fontId="0" fillId="0" borderId="5" xfId="0" applyBorder="1"/>
    <xf numFmtId="0" fontId="0" fillId="5" borderId="0" xfId="0" applyFill="1"/>
    <xf numFmtId="0" fontId="8" fillId="6" borderId="0" xfId="2"/>
  </cellXfs>
  <cellStyles count="3">
    <cellStyle name="Good" xfId="1" builtinId="26"/>
    <cellStyle name="Neutral" xfId="2" builtinId="28"/>
    <cellStyle name="Normal" xfId="0" builtinId="0"/>
  </cellStyles>
  <dxfs count="43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numFmt numFmtId="0" formatCode="General"/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</dxf>
  </dxfs>
  <tableStyles count="0" defaultTableStyle="TableStyleMedium7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3" displayName="Tabelle3" ref="A1:B3" totalsRowShown="0">
  <autoFilter ref="A1:B3" xr:uid="{00000000-0009-0000-0100-000001000000}"/>
  <tableColumns count="2">
    <tableColumn id="1" xr3:uid="{00000000-0010-0000-0000-000001000000}" name=".Wert"/>
    <tableColumn id="2" xr3:uid="{00000000-0010-0000-0000-000002000000}" name="Outpu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fingattungid__2" displayName="bafingattungid__2" ref="A1:C51" totalsRowShown="0" dataDxfId="42">
  <autoFilter ref="A1:C51" xr:uid="{00000000-0009-0000-0100-000002000000}"/>
  <tableColumns count="3">
    <tableColumn id="1" xr3:uid="{00000000-0010-0000-0100-000001000000}" name=".Wert" dataDxfId="41"/>
    <tableColumn id="2" xr3:uid="{00000000-0010-0000-0100-000002000000}" name="Bedeutung" dataDxfId="40"/>
    <tableColumn id="3" xr3:uid="{00000000-0010-0000-0100-000003000000}" name="Output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4" displayName="Tabelle4" ref="A1:C1048576" totalsRowShown="0" headerRowDxfId="38">
  <autoFilter ref="A1:C1048576" xr:uid="{00000000-0009-0000-0100-000003000000}"/>
  <tableColumns count="3">
    <tableColumn id="1" xr3:uid="{00000000-0010-0000-0200-000001000000}" name="boersenname"/>
    <tableColumn id="2" xr3:uid="{00000000-0010-0000-0200-000002000000}" name="boersenkuerzel"/>
    <tableColumn id="3" xr3:uid="{00000000-0010-0000-0200-000003000000}" name="boersenland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e5" displayName="Tabelle5" ref="A1:B1048566" totalsRowShown="0" headerRowDxfId="37">
  <autoFilter ref="A1:B1048566" xr:uid="{00000000-0009-0000-0100-000004000000}"/>
  <tableColumns count="2">
    <tableColumn id="1" xr3:uid="{00000000-0010-0000-0300-000001000000}" name=".Wert"/>
    <tableColumn id="2" xr3:uid="{00000000-0010-0000-0300-000002000000}" name="Output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e7" displayName="Tabelle7" ref="A1:B1048576" totalsRowShown="0" headerRowDxfId="36">
  <autoFilter ref="A1:B1048576" xr:uid="{00000000-0009-0000-0100-000005000000}"/>
  <tableColumns count="2">
    <tableColumn id="1" xr3:uid="{00000000-0010-0000-0400-000001000000}" name=".Wert"/>
    <tableColumn id="2" xr3:uid="{00000000-0010-0000-0400-000002000000}" name="Bedeutung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le8" displayName="Tabelle8" ref="A1:C1048576" totalsRowShown="0" headerRowDxfId="35">
  <autoFilter ref="A1:C1048576" xr:uid="{00000000-0009-0000-0100-000006000000}"/>
  <tableColumns count="3">
    <tableColumn id="1" xr3:uid="{00000000-0010-0000-0500-000001000000}" name=".Wert"/>
    <tableColumn id="2" xr3:uid="{00000000-0010-0000-0500-000002000000}" name="Bedeutung"/>
    <tableColumn id="3" xr3:uid="{00000000-0010-0000-0500-000003000000}" name="Outpu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le9" displayName="Tabelle9" ref="A1:C4" totalsRowShown="0" headerRowDxfId="34">
  <autoFilter ref="A1:C4" xr:uid="{00000000-0009-0000-0100-000007000000}"/>
  <tableColumns count="3">
    <tableColumn id="1" xr3:uid="{00000000-0010-0000-0600-000001000000}" name=".Wert" dataDxfId="33"/>
    <tableColumn id="2" xr3:uid="{00000000-0010-0000-0600-000002000000}" name="Bedeutung" dataDxfId="32"/>
    <tableColumn id="3" xr3:uid="{00000000-0010-0000-0600-000003000000}" name="Output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le10" displayName="Tabelle10" ref="A1:C4" totalsRowShown="0" headerRowDxfId="31">
  <autoFilter ref="A1:C4" xr:uid="{00000000-0009-0000-0100-000008000000}"/>
  <tableColumns count="3">
    <tableColumn id="1" xr3:uid="{00000000-0010-0000-0700-000001000000}" name=".Wert" dataDxfId="30"/>
    <tableColumn id="2" xr3:uid="{00000000-0010-0000-0700-000002000000}" name="Bedeutung" dataDxfId="29"/>
    <tableColumn id="3" xr3:uid="{00000000-0010-0000-0700-000003000000}" name="Output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le11" displayName="Tabelle11" ref="A1:B10" totalsRowShown="0" headerRowDxfId="28">
  <autoFilter ref="A1:B10" xr:uid="{00000000-0009-0000-0100-000009000000}"/>
  <tableColumns count="2">
    <tableColumn id="1" xr3:uid="{00000000-0010-0000-0800-000001000000}" name=".Wert"/>
    <tableColumn id="2" xr3:uid="{00000000-0010-0000-0800-000002000000}" name="Output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le12" displayName="Tabelle12" ref="A1:C4" totalsRowShown="0" headerRowDxfId="27">
  <autoFilter ref="A1:C4" xr:uid="{00000000-0009-0000-0100-00000A000000}"/>
  <tableColumns count="3">
    <tableColumn id="1" xr3:uid="{00000000-0010-0000-0900-000001000000}" name=".Wert" dataDxfId="26"/>
    <tableColumn id="2" xr3:uid="{00000000-0010-0000-0900-000002000000}" name="Bedeutung" dataDxfId="25"/>
    <tableColumn id="3" xr3:uid="{00000000-0010-0000-0900-000003000000}" name="Output" dataDxfId="24">
      <calculatedColumnFormula>CONCATENATE("""",B2,"""")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le1" displayName="Tabelle1" ref="A1:C997" totalsRowShown="0" headerRowDxfId="23" dataDxfId="21" headerRowBorderDxfId="22" tableBorderDxfId="20" totalsRowBorderDxfId="19">
  <autoFilter ref="A1:C997" xr:uid="{00000000-0009-0000-0100-00000B000000}"/>
  <tableColumns count="3">
    <tableColumn id="1" xr3:uid="{00000000-0010-0000-0A00-000001000000}" name=".Wert" dataDxfId="18"/>
    <tableColumn id="2" xr3:uid="{00000000-0010-0000-0A00-000002000000}" name=".Wert (alternative)" dataDxfId="17"/>
    <tableColumn id="3" xr3:uid="{00000000-0010-0000-0A00-000003000000}" name="Output" dataDxfId="1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le97" displayName="Tabelle97" ref="A1:C4" totalsRowShown="0" headerRowDxfId="15">
  <autoFilter ref="A1:C4" xr:uid="{00000000-0009-0000-0100-00000C000000}"/>
  <tableColumns count="3">
    <tableColumn id="1" xr3:uid="{00000000-0010-0000-0B00-000001000000}" name=".Wert" dataDxfId="14"/>
    <tableColumn id="2" xr3:uid="{00000000-0010-0000-0B00-000002000000}" name="Bedeutung" dataDxfId="13"/>
    <tableColumn id="3" xr3:uid="{00000000-0010-0000-0B00-000003000000}" name="Output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le13" displayName="Tabelle13" ref="A1:B5" totalsRowShown="0" headerRowDxfId="12">
  <autoFilter ref="A1:B5" xr:uid="{00000000-0009-0000-0100-00000D000000}"/>
  <tableColumns count="2">
    <tableColumn id="1" xr3:uid="{00000000-0010-0000-0C00-000001000000}" name=".Wert"/>
    <tableColumn id="2" xr3:uid="{00000000-0010-0000-0C00-000002000000}" name="Output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elle14" displayName="Tabelle14" ref="A1:B1048576" totalsRowShown="0" headerRowDxfId="11">
  <autoFilter ref="A1:B1048576" xr:uid="{00000000-0009-0000-0100-00000E000000}"/>
  <tableColumns count="2">
    <tableColumn id="1" xr3:uid="{00000000-0010-0000-0D00-000001000000}" name=".Wert"/>
    <tableColumn id="2" xr3:uid="{00000000-0010-0000-0D00-000002000000}" name="Output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le15" displayName="Tabelle15" ref="A1:C7" totalsRowShown="0" headerRowDxfId="10">
  <autoFilter ref="A1:C7" xr:uid="{00000000-0009-0000-0100-00000F000000}"/>
  <tableColumns count="3">
    <tableColumn id="1" xr3:uid="{00000000-0010-0000-0E00-000001000000}" name=".Wert"/>
    <tableColumn id="2" xr3:uid="{00000000-0010-0000-0E00-000002000000}" name="Bedeutung"/>
    <tableColumn id="3" xr3:uid="{00000000-0010-0000-0E00-000003000000}" name="Output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elle16" displayName="Tabelle16" ref="A1:B1048576" totalsRowShown="0" headerRowDxfId="9">
  <autoFilter ref="A1:B1048576" xr:uid="{00000000-0009-0000-0100-000010000000}"/>
  <tableColumns count="2">
    <tableColumn id="1" xr3:uid="{00000000-0010-0000-0F00-000001000000}" name=".Wert"/>
    <tableColumn id="2" xr3:uid="{00000000-0010-0000-0F00-000002000000}" name="Output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elle17" displayName="Tabelle17" ref="A1:B2" totalsRowShown="0" headerRowDxfId="8">
  <autoFilter ref="A1:B2" xr:uid="{00000000-0009-0000-0100-000011000000}"/>
  <tableColumns count="2">
    <tableColumn id="1" xr3:uid="{00000000-0010-0000-1000-000001000000}" name=".Wert"/>
    <tableColumn id="2" xr3:uid="{00000000-0010-0000-1000-000002000000}" name="Output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elle18" displayName="Tabelle18" ref="A1:C4" totalsRowShown="0" headerRowDxfId="7">
  <autoFilter ref="A1:C4" xr:uid="{00000000-0009-0000-0100-000012000000}"/>
  <tableColumns count="3">
    <tableColumn id="1" xr3:uid="{00000000-0010-0000-1100-000001000000}" name=".Wert" dataDxfId="6"/>
    <tableColumn id="2" xr3:uid="{00000000-0010-0000-1100-000002000000}" name="Bedeutung" dataDxfId="5"/>
    <tableColumn id="3" xr3:uid="{00000000-0010-0000-1100-000003000000}" name="Output" dataDxfId="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elle19" displayName="Tabelle19" ref="A1:B4" totalsRowShown="0" headerRowDxfId="3">
  <autoFilter ref="A1:B4" xr:uid="{00000000-0009-0000-0100-000013000000}"/>
  <tableColumns count="2">
    <tableColumn id="1" xr3:uid="{00000000-0010-0000-1200-000001000000}" name=".Wert" dataDxfId="2"/>
    <tableColumn id="2" xr3:uid="{00000000-0010-0000-1200-000002000000}" name="Output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elle20" displayName="Tabelle20" ref="A1:B1048576" totalsRowShown="0" headerRowDxfId="1">
  <autoFilter ref="A1:B1048576" xr:uid="{00000000-0009-0000-0100-000014000000}"/>
  <tableColumns count="2">
    <tableColumn id="1" xr3:uid="{00000000-0010-0000-1300-000001000000}" name=".Wert"/>
    <tableColumn id="2" xr3:uid="{00000000-0010-0000-1300-000002000000}" name="Output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elle21" displayName="Tabelle21" ref="A1:B1048576" totalsRowShown="0" headerRowDxfId="0">
  <autoFilter ref="A1:B1048576" xr:uid="{00000000-0009-0000-0100-000015000000}"/>
  <tableColumns count="2">
    <tableColumn id="1" xr3:uid="{00000000-0010-0000-1400-000001000000}" name=".Wert"/>
    <tableColumn id="2" xr3:uid="{00000000-0010-0000-1400-000002000000}" name="Outpu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9"/>
  <sheetViews>
    <sheetView tabSelected="1" zoomScale="125" zoomScaleNormal="125" workbookViewId="0">
      <pane xSplit="1" ySplit="1" topLeftCell="B604" activePane="bottomRight" state="frozen"/>
      <selection pane="topRight" activeCell="B1" sqref="B1"/>
      <selection pane="bottomLeft" activeCell="A2" sqref="A2"/>
      <selection pane="bottomRight" activeCell="B732" sqref="B732"/>
    </sheetView>
  </sheetViews>
  <sheetFormatPr baseColWidth="10" defaultColWidth="10.83203125" defaultRowHeight="15" x14ac:dyDescent="0.2"/>
  <cols>
    <col min="1" max="1" width="76.33203125" customWidth="1"/>
    <col min="2" max="2" width="23.5" customWidth="1"/>
    <col min="3" max="3" width="27.6640625" customWidth="1"/>
    <col min="4" max="4" width="23.83203125" customWidth="1"/>
    <col min="5" max="5" width="151.83203125" customWidth="1"/>
    <col min="6" max="6" width="14.1640625" customWidth="1"/>
    <col min="9" max="9" width="9.83203125" customWidth="1"/>
    <col min="10" max="10" width="107" customWidth="1"/>
    <col min="11" max="12" width="17" customWidth="1"/>
    <col min="13" max="13" width="21.5" customWidth="1"/>
    <col min="14" max="14" width="23.5" customWidth="1"/>
    <col min="15" max="16" width="17" customWidth="1"/>
    <col min="17" max="20" width="14" customWidth="1"/>
    <col min="21" max="21" width="21" bestFit="1" customWidth="1"/>
    <col min="22" max="22" width="35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11</v>
      </c>
      <c r="O1" t="s">
        <v>12</v>
      </c>
      <c r="P1" t="s">
        <v>12</v>
      </c>
      <c r="Q1" t="s">
        <v>13</v>
      </c>
      <c r="R1" t="s">
        <v>13</v>
      </c>
      <c r="S1" t="s">
        <v>14</v>
      </c>
      <c r="T1" t="s">
        <v>15</v>
      </c>
      <c r="U1" t="str">
        <f>CONCATENATE(COUNTIF(U3:U1048576,"Ja")," Spezifikationslücken")</f>
        <v>0 Spezifikationslücken</v>
      </c>
      <c r="V1" t="str">
        <f>CONCATENATE(COUNTIF(V3:V1048576,"Ja")," Spezifizierte Felder nie ausgeliefert")</f>
        <v>196 Spezifizierte Felder nie ausgeliefert</v>
      </c>
    </row>
    <row r="2" spans="1:22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K2" t="s">
        <v>21</v>
      </c>
      <c r="L2" t="s">
        <v>22</v>
      </c>
      <c r="M2" t="s">
        <v>21</v>
      </c>
      <c r="N2" t="s">
        <v>22</v>
      </c>
      <c r="O2" t="s">
        <v>21</v>
      </c>
      <c r="P2" t="s">
        <v>22</v>
      </c>
      <c r="Q2" t="s">
        <v>21</v>
      </c>
      <c r="R2" t="s">
        <v>22</v>
      </c>
      <c r="S2" t="s">
        <v>23</v>
      </c>
      <c r="T2" t="s">
        <v>23</v>
      </c>
      <c r="V2" t="str">
        <f>IF(AND(COUNTIF($K2:$R2,"Ja")=0,$I2&lt;&gt;""),"Ja","")</f>
        <v/>
      </c>
    </row>
    <row r="3" spans="1:22" ht="16" customHeight="1" x14ac:dyDescent="0.2">
      <c r="A3" t="s">
        <v>24</v>
      </c>
      <c r="B3" t="s">
        <v>25</v>
      </c>
      <c r="C3" t="s">
        <v>26</v>
      </c>
      <c r="D3" s="27" t="s">
        <v>27</v>
      </c>
      <c r="E3" s="15" t="s">
        <v>28</v>
      </c>
      <c r="F3" t="s">
        <v>29</v>
      </c>
      <c r="G3" t="s">
        <v>30</v>
      </c>
      <c r="H3" t="s">
        <v>31</v>
      </c>
      <c r="I3" t="str">
        <f>IF(J3&lt;&gt;"","UFDB","")</f>
        <v>UFDB</v>
      </c>
      <c r="J3" t="s">
        <v>32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tr">
        <f>IF(AND(COUNTIF($K3:$R3,"Ja")&gt;0,OR($I3="",AND($I3="UFDB",$J3=""))),"Ja","")</f>
        <v/>
      </c>
      <c r="V3" t="str">
        <f>IF(AND(COUNTIF($K3:$R3,"Ja")=0,$I3&lt;&gt;""),"Ja","")</f>
        <v/>
      </c>
    </row>
    <row r="4" spans="1:22" x14ac:dyDescent="0.2">
      <c r="A4" t="s">
        <v>34</v>
      </c>
      <c r="B4" t="s">
        <v>25</v>
      </c>
      <c r="C4" t="s">
        <v>35</v>
      </c>
      <c r="D4" t="s">
        <v>36</v>
      </c>
      <c r="E4" s="15" t="s">
        <v>37</v>
      </c>
      <c r="F4" t="s">
        <v>38</v>
      </c>
      <c r="G4" t="s">
        <v>30</v>
      </c>
      <c r="H4" t="s">
        <v>31</v>
      </c>
      <c r="I4" t="str">
        <f>IF(J4&lt;&gt;"","UFDB","")</f>
        <v>UFDB</v>
      </c>
      <c r="J4" t="s">
        <v>39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tr">
        <f>IF(AND(COUNTIF($K4:$R4,"Ja")&gt;0,OR($I4="",AND($I4="UFDB",$J4=""))),"Ja","")</f>
        <v/>
      </c>
      <c r="V4" t="str">
        <f>IF(AND(COUNTIF($K4:$R4,"Ja")=0,$I4&lt;&gt;""),"Ja","")</f>
        <v/>
      </c>
    </row>
    <row r="5" spans="1:22" ht="16" customHeight="1" x14ac:dyDescent="0.2">
      <c r="A5" t="s">
        <v>40</v>
      </c>
      <c r="B5" t="s">
        <v>25</v>
      </c>
      <c r="C5" t="s">
        <v>26</v>
      </c>
      <c r="D5" s="27" t="s">
        <v>27</v>
      </c>
      <c r="E5" s="15" t="s">
        <v>41</v>
      </c>
      <c r="F5" t="s">
        <v>38</v>
      </c>
      <c r="G5" t="s">
        <v>30</v>
      </c>
      <c r="H5" t="s">
        <v>31</v>
      </c>
      <c r="I5" t="str">
        <f>IF(J5&lt;&gt;"","UFDB","")</f>
        <v>UFDB</v>
      </c>
      <c r="J5" t="s">
        <v>42</v>
      </c>
      <c r="K5" t="s">
        <v>33</v>
      </c>
      <c r="L5" t="s">
        <v>43</v>
      </c>
      <c r="M5" t="s">
        <v>33</v>
      </c>
      <c r="N5" t="s">
        <v>43</v>
      </c>
      <c r="O5" t="s">
        <v>33</v>
      </c>
      <c r="P5" t="s">
        <v>43</v>
      </c>
      <c r="Q5" t="s">
        <v>33</v>
      </c>
      <c r="R5" t="s">
        <v>43</v>
      </c>
      <c r="T5" t="s">
        <v>43</v>
      </c>
      <c r="U5" t="str">
        <f>IF(AND(COUNTIF($K5:$R5,"Ja")&gt;0,OR($I5="",AND($I5="UFDB",$J5=""))),"Ja","")</f>
        <v/>
      </c>
      <c r="V5" t="str">
        <f>IF(AND(COUNTIF($K5:$R5,"Ja")=0,$I5&lt;&gt;""),"Ja","")</f>
        <v/>
      </c>
    </row>
    <row r="6" spans="1:22" x14ac:dyDescent="0.2">
      <c r="A6" t="s">
        <v>44</v>
      </c>
      <c r="B6" t="s">
        <v>25</v>
      </c>
      <c r="C6" t="s">
        <v>45</v>
      </c>
      <c r="D6" t="s">
        <v>46</v>
      </c>
      <c r="E6" s="15"/>
    </row>
    <row r="7" spans="1:22" ht="16" customHeight="1" x14ac:dyDescent="0.2">
      <c r="A7" t="s">
        <v>47</v>
      </c>
      <c r="B7" t="s">
        <v>46</v>
      </c>
      <c r="C7" t="s">
        <v>48</v>
      </c>
      <c r="D7" t="s">
        <v>36</v>
      </c>
      <c r="E7" s="15" t="s">
        <v>49</v>
      </c>
      <c r="F7" t="s">
        <v>38</v>
      </c>
      <c r="G7" t="s">
        <v>30</v>
      </c>
      <c r="H7" t="s">
        <v>31</v>
      </c>
      <c r="I7" t="str">
        <f t="shared" ref="I7:I14" si="0">IF(J7&lt;&gt;"","UFDB","")</f>
        <v>UFDB</v>
      </c>
      <c r="J7" t="s">
        <v>50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tr">
        <f t="shared" ref="U7:U14" si="1">IF(AND(COUNTIF($K7:$R7,"Ja")&gt;0,OR($I7="",AND($I7="UFDB",$J7=""))),"Ja","")</f>
        <v/>
      </c>
      <c r="V7" t="str">
        <f t="shared" ref="V7:V14" si="2">IF(AND(COUNTIF($K7:$R7,"Ja")=0,$I7&lt;&gt;""),"Ja","")</f>
        <v/>
      </c>
    </row>
    <row r="8" spans="1:22" x14ac:dyDescent="0.2">
      <c r="A8" t="s">
        <v>51</v>
      </c>
      <c r="B8" t="s">
        <v>46</v>
      </c>
      <c r="C8" t="s">
        <v>52</v>
      </c>
      <c r="D8" t="s">
        <v>36</v>
      </c>
      <c r="E8" s="15" t="s">
        <v>53</v>
      </c>
      <c r="F8" t="s">
        <v>38</v>
      </c>
      <c r="G8" t="s">
        <v>30</v>
      </c>
      <c r="H8" t="s">
        <v>31</v>
      </c>
      <c r="I8" t="str">
        <f t="shared" si="0"/>
        <v>UFDB</v>
      </c>
      <c r="J8" t="s">
        <v>54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tr">
        <f t="shared" si="1"/>
        <v/>
      </c>
      <c r="V8" t="str">
        <f t="shared" si="2"/>
        <v/>
      </c>
    </row>
    <row r="9" spans="1:22" ht="16" customHeight="1" x14ac:dyDescent="0.2">
      <c r="A9" t="s">
        <v>55</v>
      </c>
      <c r="B9" t="s">
        <v>46</v>
      </c>
      <c r="C9" t="s">
        <v>52</v>
      </c>
      <c r="D9" s="27" t="s">
        <v>56</v>
      </c>
      <c r="E9" s="15" t="s">
        <v>57</v>
      </c>
      <c r="F9" t="s">
        <v>38</v>
      </c>
      <c r="G9" t="s">
        <v>30</v>
      </c>
      <c r="H9" t="s">
        <v>31</v>
      </c>
      <c r="I9" t="str">
        <f t="shared" si="0"/>
        <v>UFDB</v>
      </c>
      <c r="J9" t="s">
        <v>58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59</v>
      </c>
      <c r="T9" t="s">
        <v>33</v>
      </c>
      <c r="U9" t="str">
        <f t="shared" si="1"/>
        <v/>
      </c>
      <c r="V9" t="str">
        <f t="shared" si="2"/>
        <v/>
      </c>
    </row>
    <row r="10" spans="1:22" x14ac:dyDescent="0.2">
      <c r="A10" t="s">
        <v>60</v>
      </c>
      <c r="B10" t="s">
        <v>46</v>
      </c>
      <c r="C10" t="s">
        <v>61</v>
      </c>
      <c r="D10" t="s">
        <v>36</v>
      </c>
      <c r="E10" s="15" t="s">
        <v>62</v>
      </c>
      <c r="F10" t="s">
        <v>38</v>
      </c>
      <c r="G10" t="s">
        <v>30</v>
      </c>
      <c r="H10" t="s">
        <v>31</v>
      </c>
      <c r="I10" t="str">
        <f t="shared" si="0"/>
        <v>UFDB</v>
      </c>
      <c r="J10" t="s">
        <v>63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tr">
        <f t="shared" si="1"/>
        <v/>
      </c>
      <c r="V10" t="str">
        <f t="shared" si="2"/>
        <v/>
      </c>
    </row>
    <row r="11" spans="1:22" x14ac:dyDescent="0.2">
      <c r="A11" t="s">
        <v>64</v>
      </c>
      <c r="B11" t="s">
        <v>46</v>
      </c>
      <c r="C11" t="s">
        <v>65</v>
      </c>
      <c r="D11" t="s">
        <v>36</v>
      </c>
      <c r="E11" s="15" t="s">
        <v>66</v>
      </c>
      <c r="F11" t="s">
        <v>38</v>
      </c>
      <c r="G11" t="s">
        <v>30</v>
      </c>
      <c r="H11" t="s">
        <v>31</v>
      </c>
      <c r="I11" t="str">
        <f t="shared" si="0"/>
        <v>UFDB</v>
      </c>
      <c r="J11" t="s">
        <v>67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tr">
        <f t="shared" si="1"/>
        <v/>
      </c>
      <c r="V11" t="str">
        <f t="shared" si="2"/>
        <v/>
      </c>
    </row>
    <row r="12" spans="1:22" x14ac:dyDescent="0.2">
      <c r="A12" t="s">
        <v>68</v>
      </c>
      <c r="B12" t="s">
        <v>46</v>
      </c>
      <c r="C12" t="s">
        <v>69</v>
      </c>
      <c r="D12" t="s">
        <v>36</v>
      </c>
      <c r="E12" s="15" t="s">
        <v>70</v>
      </c>
      <c r="F12" t="s">
        <v>38</v>
      </c>
      <c r="G12" t="s">
        <v>30</v>
      </c>
      <c r="H12" t="s">
        <v>31</v>
      </c>
      <c r="I12" t="str">
        <f t="shared" si="0"/>
        <v>UFDB</v>
      </c>
      <c r="J12" t="s">
        <v>71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T12" t="s">
        <v>33</v>
      </c>
      <c r="U12" t="str">
        <f t="shared" si="1"/>
        <v/>
      </c>
      <c r="V12" t="str">
        <f t="shared" si="2"/>
        <v/>
      </c>
    </row>
    <row r="13" spans="1:22" x14ac:dyDescent="0.2">
      <c r="A13" t="s">
        <v>72</v>
      </c>
      <c r="B13" t="s">
        <v>46</v>
      </c>
      <c r="C13" t="s">
        <v>73</v>
      </c>
      <c r="D13" t="s">
        <v>36</v>
      </c>
      <c r="E13" s="15" t="s">
        <v>74</v>
      </c>
      <c r="F13" t="s">
        <v>38</v>
      </c>
      <c r="G13" t="s">
        <v>30</v>
      </c>
      <c r="H13" t="s">
        <v>31</v>
      </c>
      <c r="I13" t="str">
        <f t="shared" si="0"/>
        <v>UFDB</v>
      </c>
      <c r="J13" t="s">
        <v>75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tr">
        <f t="shared" si="1"/>
        <v/>
      </c>
      <c r="V13" t="str">
        <f t="shared" si="2"/>
        <v/>
      </c>
    </row>
    <row r="14" spans="1:22" ht="16" customHeight="1" x14ac:dyDescent="0.2">
      <c r="A14" t="s">
        <v>76</v>
      </c>
      <c r="B14" t="s">
        <v>46</v>
      </c>
      <c r="C14" t="s">
        <v>52</v>
      </c>
      <c r="D14" s="27" t="s">
        <v>56</v>
      </c>
      <c r="E14" s="15" t="s">
        <v>77</v>
      </c>
      <c r="F14" t="s">
        <v>38</v>
      </c>
      <c r="G14" t="s">
        <v>30</v>
      </c>
      <c r="H14" t="s">
        <v>31</v>
      </c>
      <c r="I14" t="str">
        <f t="shared" si="0"/>
        <v>UFDB</v>
      </c>
      <c r="J14" t="s">
        <v>78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59</v>
      </c>
      <c r="T14" t="s">
        <v>33</v>
      </c>
      <c r="U14" t="str">
        <f t="shared" si="1"/>
        <v/>
      </c>
      <c r="V14" t="str">
        <f t="shared" si="2"/>
        <v/>
      </c>
    </row>
    <row r="15" spans="1:22" ht="16" customHeight="1" x14ac:dyDescent="0.2">
      <c r="A15" t="s">
        <v>79</v>
      </c>
      <c r="B15" t="s">
        <v>80</v>
      </c>
      <c r="C15" t="s">
        <v>81</v>
      </c>
      <c r="D15" t="s">
        <v>46</v>
      </c>
      <c r="E15" s="15"/>
    </row>
    <row r="16" spans="1:22" ht="16" customHeight="1" x14ac:dyDescent="0.2">
      <c r="A16" t="s">
        <v>82</v>
      </c>
      <c r="B16" t="s">
        <v>46</v>
      </c>
      <c r="C16" t="s">
        <v>48</v>
      </c>
      <c r="D16" t="s">
        <v>36</v>
      </c>
      <c r="E16" s="15" t="s">
        <v>83</v>
      </c>
      <c r="F16" t="s">
        <v>38</v>
      </c>
      <c r="G16" t="s">
        <v>30</v>
      </c>
      <c r="H16" t="s">
        <v>31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T16" t="s">
        <v>43</v>
      </c>
      <c r="U16" t="str">
        <f t="shared" ref="U16:U79" si="3">IF(AND(COUNTIF($K16:$R16,"Ja")&gt;0,OR($I16="",AND($I16="UFDB",$J16=""))),"Ja","")</f>
        <v/>
      </c>
      <c r="V16" t="str">
        <f t="shared" ref="V16:V79" si="4">IF(AND(COUNTIF($K16:$R16,"Ja")=0,$I16&lt;&gt;""),"Ja","")</f>
        <v/>
      </c>
    </row>
    <row r="17" spans="1:22" x14ac:dyDescent="0.2">
      <c r="A17" t="s">
        <v>84</v>
      </c>
      <c r="B17" t="s">
        <v>46</v>
      </c>
      <c r="C17" t="s">
        <v>52</v>
      </c>
      <c r="D17" t="s">
        <v>36</v>
      </c>
      <c r="E17" s="15" t="s">
        <v>85</v>
      </c>
      <c r="F17" t="s">
        <v>38</v>
      </c>
      <c r="G17" t="s">
        <v>30</v>
      </c>
      <c r="H17" t="s">
        <v>31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T17" t="s">
        <v>43</v>
      </c>
      <c r="U17" t="str">
        <f t="shared" si="3"/>
        <v/>
      </c>
      <c r="V17" t="str">
        <f t="shared" si="4"/>
        <v/>
      </c>
    </row>
    <row r="18" spans="1:22" ht="16" customHeight="1" x14ac:dyDescent="0.2">
      <c r="A18" t="s">
        <v>86</v>
      </c>
      <c r="B18" t="s">
        <v>46</v>
      </c>
      <c r="C18" t="s">
        <v>52</v>
      </c>
      <c r="D18" s="27" t="s">
        <v>56</v>
      </c>
      <c r="E18" s="15" t="s">
        <v>87</v>
      </c>
      <c r="F18" t="s">
        <v>38</v>
      </c>
      <c r="G18" t="s">
        <v>30</v>
      </c>
      <c r="H18" t="s">
        <v>31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T18" t="s">
        <v>43</v>
      </c>
      <c r="U18" t="str">
        <f t="shared" si="3"/>
        <v/>
      </c>
      <c r="V18" t="str">
        <f t="shared" si="4"/>
        <v/>
      </c>
    </row>
    <row r="19" spans="1:22" x14ac:dyDescent="0.2">
      <c r="A19" t="s">
        <v>88</v>
      </c>
      <c r="B19" t="s">
        <v>46</v>
      </c>
      <c r="C19" t="s">
        <v>61</v>
      </c>
      <c r="D19" t="s">
        <v>36</v>
      </c>
      <c r="E19" s="15" t="s">
        <v>89</v>
      </c>
      <c r="F19" t="s">
        <v>38</v>
      </c>
      <c r="G19" t="s">
        <v>30</v>
      </c>
      <c r="H19" t="s">
        <v>31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T19" t="s">
        <v>43</v>
      </c>
      <c r="U19" t="str">
        <f t="shared" si="3"/>
        <v/>
      </c>
      <c r="V19" t="str">
        <f t="shared" si="4"/>
        <v/>
      </c>
    </row>
    <row r="20" spans="1:22" x14ac:dyDescent="0.2">
      <c r="A20" t="s">
        <v>90</v>
      </c>
      <c r="B20" t="s">
        <v>46</v>
      </c>
      <c r="C20" t="s">
        <v>65</v>
      </c>
      <c r="D20" t="s">
        <v>36</v>
      </c>
      <c r="E20" s="15" t="s">
        <v>91</v>
      </c>
      <c r="F20" t="s">
        <v>38</v>
      </c>
      <c r="G20" t="s">
        <v>30</v>
      </c>
      <c r="H20" t="s">
        <v>31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T20" t="s">
        <v>43</v>
      </c>
      <c r="U20" t="str">
        <f t="shared" si="3"/>
        <v/>
      </c>
      <c r="V20" t="str">
        <f t="shared" si="4"/>
        <v/>
      </c>
    </row>
    <row r="21" spans="1:22" x14ac:dyDescent="0.2">
      <c r="A21" t="s">
        <v>92</v>
      </c>
      <c r="B21" t="s">
        <v>46</v>
      </c>
      <c r="C21" t="s">
        <v>69</v>
      </c>
      <c r="D21" t="s">
        <v>36</v>
      </c>
      <c r="E21" s="15" t="s">
        <v>93</v>
      </c>
      <c r="F21" t="s">
        <v>38</v>
      </c>
      <c r="G21" t="s">
        <v>30</v>
      </c>
      <c r="H21" t="s">
        <v>31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T21" t="s">
        <v>43</v>
      </c>
      <c r="U21" t="str">
        <f t="shared" si="3"/>
        <v/>
      </c>
      <c r="V21" t="str">
        <f t="shared" si="4"/>
        <v/>
      </c>
    </row>
    <row r="22" spans="1:22" x14ac:dyDescent="0.2">
      <c r="A22" t="s">
        <v>94</v>
      </c>
      <c r="B22" t="s">
        <v>46</v>
      </c>
      <c r="C22" t="s">
        <v>73</v>
      </c>
      <c r="D22" t="s">
        <v>36</v>
      </c>
      <c r="E22" s="15" t="s">
        <v>95</v>
      </c>
      <c r="F22" t="s">
        <v>38</v>
      </c>
      <c r="G22" t="s">
        <v>30</v>
      </c>
      <c r="H22" t="s">
        <v>31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T22" t="s">
        <v>43</v>
      </c>
      <c r="U22" t="str">
        <f t="shared" si="3"/>
        <v/>
      </c>
      <c r="V22" t="str">
        <f t="shared" si="4"/>
        <v/>
      </c>
    </row>
    <row r="23" spans="1:22" ht="16" customHeight="1" x14ac:dyDescent="0.2">
      <c r="A23" t="s">
        <v>96</v>
      </c>
      <c r="B23" t="s">
        <v>46</v>
      </c>
      <c r="C23" t="s">
        <v>52</v>
      </c>
      <c r="D23" s="27" t="s">
        <v>56</v>
      </c>
      <c r="E23" s="15" t="s">
        <v>97</v>
      </c>
      <c r="F23" t="s">
        <v>38</v>
      </c>
      <c r="G23" t="s">
        <v>30</v>
      </c>
      <c r="H23" t="s">
        <v>31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T23" t="s">
        <v>43</v>
      </c>
      <c r="U23" t="str">
        <f t="shared" si="3"/>
        <v/>
      </c>
      <c r="V23" t="str">
        <f t="shared" si="4"/>
        <v/>
      </c>
    </row>
    <row r="24" spans="1:22" x14ac:dyDescent="0.2">
      <c r="A24" t="s">
        <v>98</v>
      </c>
      <c r="B24" t="s">
        <v>80</v>
      </c>
      <c r="C24" t="s">
        <v>7685</v>
      </c>
      <c r="D24" t="s">
        <v>7686</v>
      </c>
      <c r="E24" s="15"/>
      <c r="F24" t="s">
        <v>38</v>
      </c>
      <c r="G24" t="s">
        <v>30</v>
      </c>
      <c r="H24" t="s">
        <v>31</v>
      </c>
      <c r="I24" t="str">
        <f>IF(J24&lt;&gt;"","UFDB","")</f>
        <v>UFDB</v>
      </c>
      <c r="J24" t="s">
        <v>99</v>
      </c>
      <c r="K24" t="s">
        <v>33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tr">
        <f t="shared" si="3"/>
        <v/>
      </c>
      <c r="V24" t="str">
        <f t="shared" si="4"/>
        <v/>
      </c>
    </row>
    <row r="25" spans="1:22" x14ac:dyDescent="0.2">
      <c r="A25" t="s">
        <v>100</v>
      </c>
      <c r="B25" t="s">
        <v>7686</v>
      </c>
      <c r="C25" t="s">
        <v>7687</v>
      </c>
      <c r="D25" t="s">
        <v>36</v>
      </c>
      <c r="E25" s="15" t="s">
        <v>101</v>
      </c>
      <c r="F25" t="s">
        <v>38</v>
      </c>
      <c r="G25" t="s">
        <v>30</v>
      </c>
      <c r="H25" t="s">
        <v>31</v>
      </c>
      <c r="I25" t="str">
        <f>IF(J25&lt;&gt;"","UFDB","")</f>
        <v>UFDB</v>
      </c>
      <c r="J25" t="s">
        <v>102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33</v>
      </c>
      <c r="T25" t="s">
        <v>43</v>
      </c>
      <c r="U25" t="str">
        <f t="shared" si="3"/>
        <v/>
      </c>
      <c r="V25" t="str">
        <f t="shared" si="4"/>
        <v/>
      </c>
    </row>
    <row r="26" spans="1:22" x14ac:dyDescent="0.2">
      <c r="A26" t="s">
        <v>103</v>
      </c>
      <c r="B26" t="s">
        <v>7686</v>
      </c>
      <c r="C26" t="s">
        <v>7688</v>
      </c>
      <c r="D26" t="s">
        <v>36</v>
      </c>
      <c r="E26" s="15" t="s">
        <v>104</v>
      </c>
      <c r="F26" t="s">
        <v>38</v>
      </c>
      <c r="G26" t="s">
        <v>30</v>
      </c>
      <c r="H26" t="s">
        <v>31</v>
      </c>
      <c r="I26" t="str">
        <f>IF(J26&lt;&gt;"","UFDB","")</f>
        <v>UFDB</v>
      </c>
      <c r="J26" t="s">
        <v>105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tr">
        <f t="shared" si="3"/>
        <v/>
      </c>
      <c r="V26" t="str">
        <f t="shared" si="4"/>
        <v/>
      </c>
    </row>
    <row r="27" spans="1:22" x14ac:dyDescent="0.2">
      <c r="A27" t="s">
        <v>106</v>
      </c>
      <c r="B27" t="s">
        <v>7686</v>
      </c>
      <c r="C27" t="s">
        <v>7689</v>
      </c>
      <c r="D27" t="s">
        <v>36</v>
      </c>
      <c r="E27" s="15" t="s">
        <v>107</v>
      </c>
      <c r="F27" t="s">
        <v>38</v>
      </c>
      <c r="G27" t="s">
        <v>30</v>
      </c>
      <c r="H27" t="s">
        <v>31</v>
      </c>
      <c r="I27" t="str">
        <f>IF(J27&lt;&gt;"","UFDB","")</f>
        <v>UFDB</v>
      </c>
      <c r="J27" t="s">
        <v>108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tr">
        <f t="shared" si="3"/>
        <v/>
      </c>
      <c r="V27" t="str">
        <f t="shared" si="4"/>
        <v/>
      </c>
    </row>
    <row r="28" spans="1:22" x14ac:dyDescent="0.2">
      <c r="A28" t="s">
        <v>109</v>
      </c>
      <c r="B28" t="s">
        <v>7686</v>
      </c>
      <c r="C28" t="s">
        <v>7690</v>
      </c>
      <c r="D28" t="s">
        <v>36</v>
      </c>
      <c r="E28" s="15" t="s">
        <v>110</v>
      </c>
      <c r="F28" t="s">
        <v>38</v>
      </c>
      <c r="G28" t="s">
        <v>30</v>
      </c>
      <c r="H28" t="s">
        <v>31</v>
      </c>
      <c r="I28" t="s">
        <v>111</v>
      </c>
      <c r="J28" t="s">
        <v>112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tr">
        <f t="shared" si="3"/>
        <v/>
      </c>
      <c r="V28" t="str">
        <f t="shared" si="4"/>
        <v/>
      </c>
    </row>
    <row r="29" spans="1:22" x14ac:dyDescent="0.2">
      <c r="A29" t="s">
        <v>113</v>
      </c>
      <c r="B29" t="s">
        <v>7686</v>
      </c>
      <c r="C29" t="s">
        <v>7691</v>
      </c>
      <c r="D29" t="s">
        <v>36</v>
      </c>
      <c r="E29" s="15" t="s">
        <v>114</v>
      </c>
      <c r="F29" t="s">
        <v>38</v>
      </c>
      <c r="G29" t="s">
        <v>30</v>
      </c>
      <c r="H29" t="s">
        <v>31</v>
      </c>
      <c r="I29" t="s">
        <v>111</v>
      </c>
      <c r="J29" t="s">
        <v>115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33</v>
      </c>
      <c r="U29" t="str">
        <f t="shared" si="3"/>
        <v/>
      </c>
      <c r="V29" t="str">
        <f t="shared" si="4"/>
        <v/>
      </c>
    </row>
    <row r="30" spans="1:22" x14ac:dyDescent="0.2">
      <c r="A30" t="s">
        <v>116</v>
      </c>
      <c r="B30" t="s">
        <v>7686</v>
      </c>
      <c r="C30" t="s">
        <v>7692</v>
      </c>
      <c r="D30" t="s">
        <v>36</v>
      </c>
      <c r="E30" s="15" t="s">
        <v>117</v>
      </c>
      <c r="F30" t="s">
        <v>38</v>
      </c>
      <c r="G30" t="s">
        <v>30</v>
      </c>
      <c r="H30" t="s">
        <v>31</v>
      </c>
      <c r="I30" t="str">
        <f t="shared" ref="I30:I35" si="5">IF(J30&lt;&gt;"","UFDB","")</f>
        <v>UFDB</v>
      </c>
      <c r="J30" t="s">
        <v>118</v>
      </c>
      <c r="K30" t="s">
        <v>33</v>
      </c>
      <c r="L30" t="s">
        <v>43</v>
      </c>
      <c r="M30" t="s">
        <v>33</v>
      </c>
      <c r="N30" t="s">
        <v>43</v>
      </c>
      <c r="O30" t="s">
        <v>33</v>
      </c>
      <c r="P30" t="s">
        <v>43</v>
      </c>
      <c r="Q30" t="s">
        <v>33</v>
      </c>
      <c r="R30" t="s">
        <v>43</v>
      </c>
      <c r="T30" t="s">
        <v>43</v>
      </c>
      <c r="U30" t="str">
        <f t="shared" si="3"/>
        <v/>
      </c>
      <c r="V30" t="str">
        <f t="shared" si="4"/>
        <v/>
      </c>
    </row>
    <row r="31" spans="1:22" x14ac:dyDescent="0.2">
      <c r="A31" t="s">
        <v>119</v>
      </c>
      <c r="B31" t="s">
        <v>80</v>
      </c>
      <c r="C31" t="s">
        <v>120</v>
      </c>
      <c r="D31" t="s">
        <v>36</v>
      </c>
      <c r="E31" s="15" t="s">
        <v>121</v>
      </c>
      <c r="F31" t="s">
        <v>38</v>
      </c>
      <c r="G31" t="s">
        <v>30</v>
      </c>
      <c r="H31" t="s">
        <v>31</v>
      </c>
      <c r="I31" t="str">
        <f t="shared" si="5"/>
        <v>UFDB</v>
      </c>
      <c r="J31" t="s">
        <v>122</v>
      </c>
      <c r="K31" t="s">
        <v>33</v>
      </c>
      <c r="L31" t="s">
        <v>43</v>
      </c>
      <c r="M31" t="s">
        <v>33</v>
      </c>
      <c r="N31" t="s">
        <v>43</v>
      </c>
      <c r="O31" t="s">
        <v>33</v>
      </c>
      <c r="P31" t="s">
        <v>43</v>
      </c>
      <c r="Q31" t="s">
        <v>33</v>
      </c>
      <c r="R31" t="s">
        <v>43</v>
      </c>
      <c r="S31" t="s">
        <v>33</v>
      </c>
      <c r="T31" t="s">
        <v>33</v>
      </c>
      <c r="U31" t="str">
        <f t="shared" si="3"/>
        <v/>
      </c>
      <c r="V31" t="str">
        <f t="shared" si="4"/>
        <v/>
      </c>
    </row>
    <row r="32" spans="1:22" x14ac:dyDescent="0.2">
      <c r="A32" t="s">
        <v>123</v>
      </c>
      <c r="B32" t="s">
        <v>124</v>
      </c>
      <c r="C32" t="s">
        <v>125</v>
      </c>
      <c r="D32" t="s">
        <v>36</v>
      </c>
      <c r="E32" s="15" t="s">
        <v>126</v>
      </c>
      <c r="F32" t="s">
        <v>38</v>
      </c>
      <c r="G32" t="s">
        <v>30</v>
      </c>
      <c r="H32" t="s">
        <v>31</v>
      </c>
      <c r="I32" t="str">
        <f t="shared" si="5"/>
        <v>UFDB</v>
      </c>
      <c r="J32" t="s">
        <v>127</v>
      </c>
      <c r="K32" t="s">
        <v>33</v>
      </c>
      <c r="L32" t="s">
        <v>43</v>
      </c>
      <c r="M32" t="s">
        <v>33</v>
      </c>
      <c r="N32" t="s">
        <v>43</v>
      </c>
      <c r="O32" t="s">
        <v>33</v>
      </c>
      <c r="P32" t="s">
        <v>43</v>
      </c>
      <c r="Q32" t="s">
        <v>33</v>
      </c>
      <c r="R32" t="s">
        <v>43</v>
      </c>
      <c r="S32" t="s">
        <v>33</v>
      </c>
      <c r="T32" t="s">
        <v>33</v>
      </c>
      <c r="U32" t="str">
        <f t="shared" si="3"/>
        <v/>
      </c>
      <c r="V32" t="str">
        <f t="shared" si="4"/>
        <v/>
      </c>
    </row>
    <row r="33" spans="1:22" x14ac:dyDescent="0.2">
      <c r="A33" t="s">
        <v>128</v>
      </c>
      <c r="B33" t="s">
        <v>80</v>
      </c>
      <c r="C33" t="s">
        <v>129</v>
      </c>
      <c r="D33" t="s">
        <v>36</v>
      </c>
      <c r="E33" s="15" t="s">
        <v>130</v>
      </c>
      <c r="F33" t="s">
        <v>38</v>
      </c>
      <c r="G33" t="s">
        <v>30</v>
      </c>
      <c r="H33" t="s">
        <v>31</v>
      </c>
      <c r="I33" t="str">
        <f t="shared" si="5"/>
        <v>UFDB</v>
      </c>
      <c r="J33" t="s">
        <v>131</v>
      </c>
      <c r="K33" t="s">
        <v>33</v>
      </c>
      <c r="L33" t="s">
        <v>43</v>
      </c>
      <c r="M33" t="s">
        <v>33</v>
      </c>
      <c r="N33" t="s">
        <v>43</v>
      </c>
      <c r="O33" t="s">
        <v>33</v>
      </c>
      <c r="P33" t="s">
        <v>43</v>
      </c>
      <c r="Q33" t="s">
        <v>33</v>
      </c>
      <c r="R33" t="s">
        <v>43</v>
      </c>
      <c r="S33" t="s">
        <v>33</v>
      </c>
      <c r="T33" t="s">
        <v>33</v>
      </c>
      <c r="U33" t="str">
        <f t="shared" si="3"/>
        <v/>
      </c>
      <c r="V33" t="str">
        <f t="shared" si="4"/>
        <v/>
      </c>
    </row>
    <row r="34" spans="1:22" x14ac:dyDescent="0.2">
      <c r="A34" t="s">
        <v>132</v>
      </c>
      <c r="B34" t="s">
        <v>80</v>
      </c>
      <c r="C34" t="s">
        <v>133</v>
      </c>
      <c r="D34" t="s">
        <v>36</v>
      </c>
      <c r="E34" s="15" t="s">
        <v>134</v>
      </c>
      <c r="F34" t="s">
        <v>38</v>
      </c>
      <c r="G34" t="s">
        <v>30</v>
      </c>
      <c r="H34" t="s">
        <v>31</v>
      </c>
      <c r="I34" t="str">
        <f t="shared" si="5"/>
        <v>UFDB</v>
      </c>
      <c r="J34" t="s">
        <v>135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tr">
        <f t="shared" si="3"/>
        <v/>
      </c>
      <c r="V34" t="str">
        <f t="shared" si="4"/>
        <v/>
      </c>
    </row>
    <row r="35" spans="1:22" x14ac:dyDescent="0.2">
      <c r="A35" t="s">
        <v>136</v>
      </c>
      <c r="B35" t="s">
        <v>124</v>
      </c>
      <c r="C35" t="s">
        <v>137</v>
      </c>
      <c r="D35" t="s">
        <v>36</v>
      </c>
      <c r="E35" s="15" t="s">
        <v>138</v>
      </c>
      <c r="F35" t="s">
        <v>38</v>
      </c>
      <c r="G35" t="s">
        <v>139</v>
      </c>
      <c r="H35" t="s">
        <v>31</v>
      </c>
      <c r="I35" t="str">
        <f t="shared" si="5"/>
        <v>UFDB</v>
      </c>
      <c r="J35" t="s">
        <v>140</v>
      </c>
      <c r="K35" t="s">
        <v>33</v>
      </c>
      <c r="L35" t="s">
        <v>43</v>
      </c>
      <c r="M35" t="s">
        <v>33</v>
      </c>
      <c r="N35" t="s">
        <v>43</v>
      </c>
      <c r="O35" t="s">
        <v>33</v>
      </c>
      <c r="P35" t="s">
        <v>43</v>
      </c>
      <c r="Q35" t="s">
        <v>33</v>
      </c>
      <c r="R35" t="s">
        <v>43</v>
      </c>
      <c r="T35" t="s">
        <v>43</v>
      </c>
      <c r="U35" t="str">
        <f t="shared" si="3"/>
        <v/>
      </c>
      <c r="V35" t="str">
        <f t="shared" si="4"/>
        <v/>
      </c>
    </row>
    <row r="36" spans="1:22" x14ac:dyDescent="0.2">
      <c r="A36" t="s">
        <v>141</v>
      </c>
      <c r="B36" t="s">
        <v>80</v>
      </c>
      <c r="C36" t="s">
        <v>142</v>
      </c>
      <c r="D36" t="s">
        <v>143</v>
      </c>
      <c r="E36" s="15" t="s">
        <v>144</v>
      </c>
      <c r="F36" t="s">
        <v>38</v>
      </c>
      <c r="G36" t="s">
        <v>139</v>
      </c>
      <c r="H36" t="s">
        <v>31</v>
      </c>
      <c r="I36" t="s">
        <v>111</v>
      </c>
      <c r="J36" t="s">
        <v>145</v>
      </c>
      <c r="K36" t="s">
        <v>33</v>
      </c>
      <c r="L36" t="s">
        <v>43</v>
      </c>
      <c r="M36" t="s">
        <v>33</v>
      </c>
      <c r="N36" t="s">
        <v>43</v>
      </c>
      <c r="O36" t="s">
        <v>33</v>
      </c>
      <c r="P36" t="s">
        <v>43</v>
      </c>
      <c r="Q36" t="s">
        <v>33</v>
      </c>
      <c r="R36" t="s">
        <v>43</v>
      </c>
      <c r="T36" t="s">
        <v>43</v>
      </c>
      <c r="U36" t="str">
        <f t="shared" si="3"/>
        <v/>
      </c>
      <c r="V36" t="str">
        <f t="shared" si="4"/>
        <v/>
      </c>
    </row>
    <row r="37" spans="1:22" x14ac:dyDescent="0.2">
      <c r="A37" t="s">
        <v>146</v>
      </c>
      <c r="B37" t="s">
        <v>80</v>
      </c>
      <c r="C37" t="s">
        <v>147</v>
      </c>
      <c r="D37" t="s">
        <v>143</v>
      </c>
      <c r="E37" s="15" t="s">
        <v>148</v>
      </c>
      <c r="F37" t="s">
        <v>38</v>
      </c>
      <c r="G37" t="s">
        <v>139</v>
      </c>
      <c r="H37" t="s">
        <v>31</v>
      </c>
      <c r="I37" t="str">
        <f t="shared" ref="I37:I46" si="6">IF(J37&lt;&gt;"","UFDB","")</f>
        <v>UFDB</v>
      </c>
      <c r="J37" t="s">
        <v>149</v>
      </c>
      <c r="K37" t="s">
        <v>33</v>
      </c>
      <c r="L37" t="s">
        <v>43</v>
      </c>
      <c r="M37" t="s">
        <v>33</v>
      </c>
      <c r="N37" t="s">
        <v>43</v>
      </c>
      <c r="O37" t="s">
        <v>33</v>
      </c>
      <c r="P37" t="s">
        <v>43</v>
      </c>
      <c r="Q37" t="s">
        <v>33</v>
      </c>
      <c r="R37" t="s">
        <v>43</v>
      </c>
      <c r="T37" t="s">
        <v>43</v>
      </c>
      <c r="U37" t="str">
        <f t="shared" si="3"/>
        <v/>
      </c>
      <c r="V37" t="str">
        <f t="shared" si="4"/>
        <v/>
      </c>
    </row>
    <row r="38" spans="1:22" x14ac:dyDescent="0.2">
      <c r="A38" t="s">
        <v>150</v>
      </c>
      <c r="B38" t="s">
        <v>80</v>
      </c>
      <c r="C38" t="s">
        <v>151</v>
      </c>
      <c r="D38" t="s">
        <v>143</v>
      </c>
      <c r="E38" s="15" t="s">
        <v>152</v>
      </c>
      <c r="F38" t="s">
        <v>38</v>
      </c>
      <c r="G38" t="s">
        <v>30</v>
      </c>
      <c r="H38" t="s">
        <v>31</v>
      </c>
      <c r="I38" t="str">
        <f t="shared" si="6"/>
        <v>UFDB</v>
      </c>
      <c r="J38" t="s">
        <v>153</v>
      </c>
      <c r="K38" t="s">
        <v>33</v>
      </c>
      <c r="L38" t="s">
        <v>43</v>
      </c>
      <c r="M38" t="s">
        <v>33</v>
      </c>
      <c r="N38" t="s">
        <v>43</v>
      </c>
      <c r="O38" t="s">
        <v>33</v>
      </c>
      <c r="P38" t="s">
        <v>43</v>
      </c>
      <c r="Q38" t="s">
        <v>33</v>
      </c>
      <c r="R38" t="s">
        <v>43</v>
      </c>
      <c r="T38" t="s">
        <v>33</v>
      </c>
      <c r="U38" t="str">
        <f t="shared" si="3"/>
        <v/>
      </c>
      <c r="V38" t="str">
        <f t="shared" si="4"/>
        <v/>
      </c>
    </row>
    <row r="39" spans="1:22" ht="16" x14ac:dyDescent="0.2">
      <c r="A39" t="s">
        <v>154</v>
      </c>
      <c r="B39" s="27"/>
      <c r="C39" s="27" t="s">
        <v>155</v>
      </c>
      <c r="D39" s="27" t="s">
        <v>7693</v>
      </c>
      <c r="E39" s="15" t="s">
        <v>156</v>
      </c>
      <c r="F39" t="s">
        <v>38</v>
      </c>
      <c r="G39" t="s">
        <v>30</v>
      </c>
      <c r="H39" t="s">
        <v>31</v>
      </c>
      <c r="I39" t="str">
        <f t="shared" si="6"/>
        <v>UFDB</v>
      </c>
      <c r="J39" t="s">
        <v>157</v>
      </c>
      <c r="K39" t="s">
        <v>33</v>
      </c>
      <c r="L39" t="s">
        <v>43</v>
      </c>
      <c r="M39" t="s">
        <v>33</v>
      </c>
      <c r="N39" t="s">
        <v>43</v>
      </c>
      <c r="O39" t="s">
        <v>33</v>
      </c>
      <c r="P39" t="s">
        <v>43</v>
      </c>
      <c r="Q39" t="s">
        <v>33</v>
      </c>
      <c r="R39" t="s">
        <v>43</v>
      </c>
      <c r="T39" t="s">
        <v>33</v>
      </c>
      <c r="U39" t="str">
        <f t="shared" si="3"/>
        <v/>
      </c>
      <c r="V39" t="str">
        <f t="shared" si="4"/>
        <v/>
      </c>
    </row>
    <row r="40" spans="1:22" x14ac:dyDescent="0.2">
      <c r="A40" t="s">
        <v>158</v>
      </c>
      <c r="B40" t="s">
        <v>124</v>
      </c>
      <c r="C40" t="s">
        <v>159</v>
      </c>
      <c r="D40" t="s">
        <v>160</v>
      </c>
      <c r="E40" s="15" t="s">
        <v>161</v>
      </c>
      <c r="F40" t="s">
        <v>38</v>
      </c>
      <c r="G40" t="s">
        <v>30</v>
      </c>
      <c r="H40" t="s">
        <v>31</v>
      </c>
      <c r="I40" t="str">
        <f t="shared" si="6"/>
        <v>UFDB</v>
      </c>
      <c r="J40" t="s">
        <v>162</v>
      </c>
      <c r="K40" t="s">
        <v>33</v>
      </c>
      <c r="L40" t="s">
        <v>43</v>
      </c>
      <c r="M40" t="s">
        <v>33</v>
      </c>
      <c r="N40" t="s">
        <v>43</v>
      </c>
      <c r="O40" t="s">
        <v>33</v>
      </c>
      <c r="P40" t="s">
        <v>43</v>
      </c>
      <c r="Q40" t="s">
        <v>33</v>
      </c>
      <c r="R40" t="s">
        <v>43</v>
      </c>
      <c r="T40" t="s">
        <v>43</v>
      </c>
      <c r="U40" t="str">
        <f t="shared" si="3"/>
        <v/>
      </c>
      <c r="V40" t="str">
        <f t="shared" si="4"/>
        <v/>
      </c>
    </row>
    <row r="41" spans="1:22" x14ac:dyDescent="0.2">
      <c r="A41" t="s">
        <v>163</v>
      </c>
      <c r="B41" t="s">
        <v>80</v>
      </c>
      <c r="C41" t="s">
        <v>164</v>
      </c>
      <c r="D41" t="s">
        <v>165</v>
      </c>
      <c r="E41" s="15"/>
      <c r="F41" t="s">
        <v>38</v>
      </c>
      <c r="G41" t="s">
        <v>30</v>
      </c>
      <c r="H41" t="s">
        <v>31</v>
      </c>
      <c r="I41" t="str">
        <f t="shared" si="6"/>
        <v>UFDB</v>
      </c>
      <c r="J41" t="s">
        <v>166</v>
      </c>
      <c r="K41" t="s">
        <v>33</v>
      </c>
      <c r="L41" t="s">
        <v>43</v>
      </c>
      <c r="M41" t="s">
        <v>33</v>
      </c>
      <c r="N41" t="s">
        <v>43</v>
      </c>
      <c r="O41" t="s">
        <v>33</v>
      </c>
      <c r="P41" t="s">
        <v>43</v>
      </c>
      <c r="Q41" t="s">
        <v>33</v>
      </c>
      <c r="R41" t="s">
        <v>43</v>
      </c>
      <c r="T41" t="s">
        <v>43</v>
      </c>
      <c r="U41" t="str">
        <f t="shared" si="3"/>
        <v/>
      </c>
      <c r="V41" t="str">
        <f t="shared" si="4"/>
        <v/>
      </c>
    </row>
    <row r="42" spans="1:22" x14ac:dyDescent="0.2">
      <c r="A42" t="s">
        <v>167</v>
      </c>
      <c r="B42" t="s">
        <v>165</v>
      </c>
      <c r="C42" t="s">
        <v>168</v>
      </c>
      <c r="D42" t="s">
        <v>169</v>
      </c>
      <c r="F42" t="s">
        <v>38</v>
      </c>
      <c r="G42" t="s">
        <v>30</v>
      </c>
      <c r="H42" t="s">
        <v>31</v>
      </c>
      <c r="I42" t="str">
        <f t="shared" si="6"/>
        <v>UFDB</v>
      </c>
      <c r="J42" t="s">
        <v>170</v>
      </c>
      <c r="K42" t="s">
        <v>33</v>
      </c>
      <c r="L42" t="s">
        <v>43</v>
      </c>
      <c r="M42" t="s">
        <v>33</v>
      </c>
      <c r="N42" t="s">
        <v>43</v>
      </c>
      <c r="O42" t="s">
        <v>33</v>
      </c>
      <c r="P42" t="s">
        <v>43</v>
      </c>
      <c r="Q42" t="s">
        <v>33</v>
      </c>
      <c r="R42" t="s">
        <v>43</v>
      </c>
      <c r="T42" t="s">
        <v>43</v>
      </c>
      <c r="U42" t="str">
        <f t="shared" si="3"/>
        <v/>
      </c>
      <c r="V42" t="str">
        <f t="shared" si="4"/>
        <v/>
      </c>
    </row>
    <row r="43" spans="1:22" x14ac:dyDescent="0.2">
      <c r="A43" t="s">
        <v>171</v>
      </c>
      <c r="B43" t="s">
        <v>169</v>
      </c>
      <c r="C43" t="s">
        <v>172</v>
      </c>
      <c r="D43" t="s">
        <v>36</v>
      </c>
      <c r="E43" t="s">
        <v>173</v>
      </c>
      <c r="F43" t="s">
        <v>38</v>
      </c>
      <c r="G43" t="s">
        <v>30</v>
      </c>
      <c r="H43" t="s">
        <v>31</v>
      </c>
      <c r="I43" t="str">
        <f t="shared" si="6"/>
        <v>UFDB</v>
      </c>
      <c r="J43" t="s">
        <v>162</v>
      </c>
      <c r="K43" t="s">
        <v>33</v>
      </c>
      <c r="L43" t="s">
        <v>43</v>
      </c>
      <c r="M43" t="s">
        <v>33</v>
      </c>
      <c r="N43" t="s">
        <v>43</v>
      </c>
      <c r="O43" t="s">
        <v>33</v>
      </c>
      <c r="P43" t="s">
        <v>43</v>
      </c>
      <c r="Q43" t="s">
        <v>33</v>
      </c>
      <c r="R43" t="s">
        <v>43</v>
      </c>
      <c r="T43" t="s">
        <v>43</v>
      </c>
      <c r="U43" t="str">
        <f t="shared" si="3"/>
        <v/>
      </c>
      <c r="V43" t="str">
        <f t="shared" si="4"/>
        <v/>
      </c>
    </row>
    <row r="44" spans="1:22" x14ac:dyDescent="0.2">
      <c r="A44" t="s">
        <v>174</v>
      </c>
      <c r="B44" t="s">
        <v>169</v>
      </c>
      <c r="C44" t="s">
        <v>175</v>
      </c>
      <c r="D44" t="s">
        <v>176</v>
      </c>
      <c r="E44" s="15" t="s">
        <v>177</v>
      </c>
      <c r="F44" t="s">
        <v>38</v>
      </c>
      <c r="G44" t="s">
        <v>30</v>
      </c>
      <c r="H44" t="s">
        <v>31</v>
      </c>
      <c r="I44" t="str">
        <f t="shared" si="6"/>
        <v>UFDB</v>
      </c>
      <c r="J44" t="s">
        <v>178</v>
      </c>
      <c r="K44" t="s">
        <v>33</v>
      </c>
      <c r="L44" t="s">
        <v>43</v>
      </c>
      <c r="M44" t="s">
        <v>33</v>
      </c>
      <c r="N44" t="s">
        <v>43</v>
      </c>
      <c r="O44" t="s">
        <v>33</v>
      </c>
      <c r="P44" t="s">
        <v>43</v>
      </c>
      <c r="Q44" t="s">
        <v>33</v>
      </c>
      <c r="R44" t="s">
        <v>43</v>
      </c>
      <c r="T44" t="s">
        <v>43</v>
      </c>
      <c r="U44" t="str">
        <f t="shared" si="3"/>
        <v/>
      </c>
      <c r="V44" t="str">
        <f t="shared" si="4"/>
        <v/>
      </c>
    </row>
    <row r="45" spans="1:22" x14ac:dyDescent="0.2">
      <c r="A45" t="s">
        <v>179</v>
      </c>
      <c r="B45" t="s">
        <v>169</v>
      </c>
      <c r="C45" t="s">
        <v>180</v>
      </c>
      <c r="D45" t="s">
        <v>36</v>
      </c>
      <c r="E45" s="15" t="s">
        <v>181</v>
      </c>
      <c r="F45" t="s">
        <v>38</v>
      </c>
      <c r="G45" t="s">
        <v>30</v>
      </c>
      <c r="H45" t="s">
        <v>31</v>
      </c>
      <c r="I45" t="str">
        <f t="shared" si="6"/>
        <v>UFDB</v>
      </c>
      <c r="J45" t="s">
        <v>182</v>
      </c>
      <c r="K45" t="s">
        <v>33</v>
      </c>
      <c r="L45" t="s">
        <v>43</v>
      </c>
      <c r="M45" t="s">
        <v>33</v>
      </c>
      <c r="N45" t="s">
        <v>43</v>
      </c>
      <c r="O45" t="s">
        <v>33</v>
      </c>
      <c r="P45" t="s">
        <v>43</v>
      </c>
      <c r="Q45" t="s">
        <v>33</v>
      </c>
      <c r="R45" t="s">
        <v>43</v>
      </c>
      <c r="T45" t="s">
        <v>43</v>
      </c>
      <c r="U45" t="str">
        <f t="shared" si="3"/>
        <v/>
      </c>
      <c r="V45" t="str">
        <f t="shared" si="4"/>
        <v/>
      </c>
    </row>
    <row r="46" spans="1:22" x14ac:dyDescent="0.2">
      <c r="A46" t="s">
        <v>183</v>
      </c>
      <c r="B46" t="s">
        <v>165</v>
      </c>
      <c r="C46" t="s">
        <v>180</v>
      </c>
      <c r="D46" t="s">
        <v>36</v>
      </c>
      <c r="E46" s="15" t="s">
        <v>184</v>
      </c>
      <c r="F46" t="s">
        <v>38</v>
      </c>
      <c r="G46" t="s">
        <v>30</v>
      </c>
      <c r="H46" t="s">
        <v>31</v>
      </c>
      <c r="I46" t="str">
        <f t="shared" si="6"/>
        <v>UFDB</v>
      </c>
      <c r="J46" t="s">
        <v>185</v>
      </c>
      <c r="K46" t="s">
        <v>33</v>
      </c>
      <c r="L46" t="s">
        <v>43</v>
      </c>
      <c r="M46" t="s">
        <v>33</v>
      </c>
      <c r="N46" t="s">
        <v>43</v>
      </c>
      <c r="O46" t="s">
        <v>33</v>
      </c>
      <c r="P46" t="s">
        <v>43</v>
      </c>
      <c r="Q46" t="s">
        <v>33</v>
      </c>
      <c r="R46" t="s">
        <v>43</v>
      </c>
      <c r="T46" t="s">
        <v>43</v>
      </c>
      <c r="U46" t="str">
        <f t="shared" si="3"/>
        <v/>
      </c>
      <c r="V46" t="str">
        <f t="shared" si="4"/>
        <v/>
      </c>
    </row>
    <row r="47" spans="1:22" x14ac:dyDescent="0.2">
      <c r="A47" t="s">
        <v>186</v>
      </c>
      <c r="B47" t="s">
        <v>165</v>
      </c>
      <c r="C47" t="s">
        <v>187</v>
      </c>
      <c r="D47" t="s">
        <v>36</v>
      </c>
      <c r="E47" t="s">
        <v>188</v>
      </c>
      <c r="F47" t="s">
        <v>38</v>
      </c>
      <c r="G47" t="s">
        <v>30</v>
      </c>
      <c r="H47" t="s">
        <v>31</v>
      </c>
      <c r="I47" t="s">
        <v>111</v>
      </c>
      <c r="J47" t="s">
        <v>189</v>
      </c>
      <c r="K47" t="s">
        <v>33</v>
      </c>
      <c r="L47" t="s">
        <v>43</v>
      </c>
      <c r="M47" t="s">
        <v>33</v>
      </c>
      <c r="N47" t="s">
        <v>43</v>
      </c>
      <c r="O47" t="s">
        <v>33</v>
      </c>
      <c r="P47" t="s">
        <v>43</v>
      </c>
      <c r="Q47" t="s">
        <v>33</v>
      </c>
      <c r="R47" t="s">
        <v>43</v>
      </c>
      <c r="T47" t="s">
        <v>43</v>
      </c>
      <c r="U47" t="str">
        <f t="shared" si="3"/>
        <v/>
      </c>
      <c r="V47" t="str">
        <f t="shared" si="4"/>
        <v/>
      </c>
    </row>
    <row r="48" spans="1:22" x14ac:dyDescent="0.2">
      <c r="A48" t="s">
        <v>190</v>
      </c>
      <c r="B48" t="s">
        <v>25</v>
      </c>
      <c r="C48" t="s">
        <v>26</v>
      </c>
      <c r="D48" t="s">
        <v>191</v>
      </c>
      <c r="E48" t="s">
        <v>192</v>
      </c>
      <c r="F48" t="s">
        <v>38</v>
      </c>
      <c r="G48" t="s">
        <v>30</v>
      </c>
      <c r="H48" t="s">
        <v>31</v>
      </c>
      <c r="I48" t="str">
        <f t="shared" ref="I48:I87" si="7">IF(J48&lt;&gt;"","UFDB","")</f>
        <v>UFDB</v>
      </c>
      <c r="J48" t="s">
        <v>193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T48" t="s">
        <v>43</v>
      </c>
      <c r="U48" t="str">
        <f t="shared" si="3"/>
        <v/>
      </c>
      <c r="V48" t="str">
        <f t="shared" si="4"/>
        <v>Ja</v>
      </c>
    </row>
    <row r="49" spans="1:22" x14ac:dyDescent="0.2">
      <c r="A49" t="s">
        <v>194</v>
      </c>
      <c r="B49" t="s">
        <v>25</v>
      </c>
      <c r="C49" t="s">
        <v>26</v>
      </c>
      <c r="D49" t="s">
        <v>195</v>
      </c>
      <c r="E49" t="s">
        <v>196</v>
      </c>
      <c r="F49" t="s">
        <v>38</v>
      </c>
      <c r="G49" t="s">
        <v>30</v>
      </c>
      <c r="H49" t="s">
        <v>31</v>
      </c>
      <c r="I49" t="str">
        <f t="shared" si="7"/>
        <v>UFDB</v>
      </c>
      <c r="J49" t="s">
        <v>197</v>
      </c>
      <c r="K49" t="s">
        <v>33</v>
      </c>
      <c r="L49" t="s">
        <v>43</v>
      </c>
      <c r="M49" t="s">
        <v>33</v>
      </c>
      <c r="N49" t="s">
        <v>43</v>
      </c>
      <c r="O49" t="s">
        <v>33</v>
      </c>
      <c r="P49" t="s">
        <v>43</v>
      </c>
      <c r="Q49" t="s">
        <v>33</v>
      </c>
      <c r="R49" t="s">
        <v>43</v>
      </c>
      <c r="T49" t="s">
        <v>43</v>
      </c>
      <c r="U49" t="str">
        <f t="shared" si="3"/>
        <v/>
      </c>
      <c r="V49" t="str">
        <f t="shared" si="4"/>
        <v/>
      </c>
    </row>
    <row r="50" spans="1:22" x14ac:dyDescent="0.2">
      <c r="A50" t="s">
        <v>198</v>
      </c>
      <c r="B50" t="s">
        <v>25</v>
      </c>
      <c r="C50" t="s">
        <v>26</v>
      </c>
      <c r="D50" t="s">
        <v>36</v>
      </c>
      <c r="E50" s="15" t="s">
        <v>199</v>
      </c>
      <c r="F50" t="s">
        <v>38</v>
      </c>
      <c r="G50" t="s">
        <v>30</v>
      </c>
      <c r="H50" t="s">
        <v>31</v>
      </c>
      <c r="I50" t="str">
        <f t="shared" si="7"/>
        <v>UFDB</v>
      </c>
      <c r="J50" t="s">
        <v>200</v>
      </c>
      <c r="K50" t="s">
        <v>33</v>
      </c>
      <c r="L50" t="s">
        <v>43</v>
      </c>
      <c r="M50" t="s">
        <v>33</v>
      </c>
      <c r="N50" t="s">
        <v>43</v>
      </c>
      <c r="O50" t="s">
        <v>33</v>
      </c>
      <c r="P50" t="s">
        <v>43</v>
      </c>
      <c r="Q50" t="s">
        <v>33</v>
      </c>
      <c r="R50" t="s">
        <v>43</v>
      </c>
      <c r="S50" t="s">
        <v>33</v>
      </c>
      <c r="T50" t="s">
        <v>43</v>
      </c>
      <c r="U50" t="str">
        <f t="shared" si="3"/>
        <v/>
      </c>
      <c r="V50" t="str">
        <f t="shared" si="4"/>
        <v/>
      </c>
    </row>
    <row r="51" spans="1:22" x14ac:dyDescent="0.2">
      <c r="A51" t="s">
        <v>201</v>
      </c>
      <c r="B51" t="s">
        <v>80</v>
      </c>
      <c r="C51" t="s">
        <v>202</v>
      </c>
      <c r="D51" t="s">
        <v>36</v>
      </c>
      <c r="E51" s="15" t="s">
        <v>203</v>
      </c>
      <c r="F51" t="s">
        <v>38</v>
      </c>
      <c r="G51" t="s">
        <v>30</v>
      </c>
      <c r="H51" t="s">
        <v>31</v>
      </c>
      <c r="I51" t="str">
        <f t="shared" si="7"/>
        <v>UFDB</v>
      </c>
      <c r="J51" t="s">
        <v>204</v>
      </c>
      <c r="K51" t="s">
        <v>33</v>
      </c>
      <c r="L51" t="s">
        <v>43</v>
      </c>
      <c r="M51" t="s">
        <v>33</v>
      </c>
      <c r="N51" t="s">
        <v>43</v>
      </c>
      <c r="O51" t="s">
        <v>33</v>
      </c>
      <c r="P51" t="s">
        <v>43</v>
      </c>
      <c r="Q51" t="s">
        <v>33</v>
      </c>
      <c r="R51" t="s">
        <v>43</v>
      </c>
      <c r="T51" t="s">
        <v>43</v>
      </c>
      <c r="U51" t="str">
        <f t="shared" si="3"/>
        <v/>
      </c>
      <c r="V51" t="str">
        <f t="shared" si="4"/>
        <v/>
      </c>
    </row>
    <row r="52" spans="1:22" x14ac:dyDescent="0.2">
      <c r="A52" t="s">
        <v>205</v>
      </c>
      <c r="B52" t="s">
        <v>80</v>
      </c>
      <c r="C52" t="s">
        <v>206</v>
      </c>
      <c r="D52" t="s">
        <v>207</v>
      </c>
      <c r="F52" t="s">
        <v>38</v>
      </c>
      <c r="G52" t="s">
        <v>30</v>
      </c>
      <c r="H52" t="s">
        <v>31</v>
      </c>
      <c r="I52" t="str">
        <f t="shared" si="7"/>
        <v>UFDB</v>
      </c>
      <c r="J52" t="s">
        <v>208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T52" t="s">
        <v>43</v>
      </c>
      <c r="U52" t="str">
        <f t="shared" si="3"/>
        <v/>
      </c>
      <c r="V52" t="str">
        <f t="shared" si="4"/>
        <v>Ja</v>
      </c>
    </row>
    <row r="53" spans="1:22" x14ac:dyDescent="0.2">
      <c r="A53" t="s">
        <v>209</v>
      </c>
      <c r="B53" t="s">
        <v>207</v>
      </c>
      <c r="C53" t="s">
        <v>210</v>
      </c>
      <c r="D53" t="s">
        <v>36</v>
      </c>
      <c r="E53" t="s">
        <v>211</v>
      </c>
      <c r="F53" t="s">
        <v>38</v>
      </c>
      <c r="G53" t="s">
        <v>30</v>
      </c>
      <c r="H53" t="s">
        <v>31</v>
      </c>
      <c r="I53" t="str">
        <f t="shared" si="7"/>
        <v>UFDB</v>
      </c>
      <c r="J53" t="s">
        <v>212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T53" t="s">
        <v>43</v>
      </c>
      <c r="U53" t="str">
        <f t="shared" si="3"/>
        <v/>
      </c>
      <c r="V53" t="str">
        <f t="shared" si="4"/>
        <v>Ja</v>
      </c>
    </row>
    <row r="54" spans="1:22" x14ac:dyDescent="0.2">
      <c r="A54" t="s">
        <v>213</v>
      </c>
      <c r="B54" t="s">
        <v>207</v>
      </c>
      <c r="C54" t="s">
        <v>214</v>
      </c>
      <c r="D54" t="s">
        <v>36</v>
      </c>
      <c r="E54" t="s">
        <v>215</v>
      </c>
      <c r="F54" t="s">
        <v>38</v>
      </c>
      <c r="G54" t="s">
        <v>30</v>
      </c>
      <c r="H54" t="s">
        <v>31</v>
      </c>
      <c r="I54" t="str">
        <f t="shared" si="7"/>
        <v>UFDB</v>
      </c>
      <c r="J54" t="s">
        <v>216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T54" t="s">
        <v>43</v>
      </c>
      <c r="U54" t="str">
        <f t="shared" si="3"/>
        <v/>
      </c>
      <c r="V54" t="str">
        <f t="shared" si="4"/>
        <v>Ja</v>
      </c>
    </row>
    <row r="55" spans="1:22" x14ac:dyDescent="0.2">
      <c r="A55" t="s">
        <v>217</v>
      </c>
      <c r="B55" t="s">
        <v>207</v>
      </c>
      <c r="C55" t="s">
        <v>218</v>
      </c>
      <c r="D55" t="s">
        <v>36</v>
      </c>
      <c r="E55" t="s">
        <v>219</v>
      </c>
      <c r="F55" t="s">
        <v>38</v>
      </c>
      <c r="G55" t="s">
        <v>30</v>
      </c>
      <c r="H55" t="s">
        <v>31</v>
      </c>
      <c r="I55" t="str">
        <f t="shared" si="7"/>
        <v/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T55" t="s">
        <v>43</v>
      </c>
      <c r="U55" t="str">
        <f t="shared" si="3"/>
        <v/>
      </c>
      <c r="V55" t="str">
        <f t="shared" si="4"/>
        <v/>
      </c>
    </row>
    <row r="56" spans="1:22" ht="16" x14ac:dyDescent="0.2">
      <c r="A56" t="s">
        <v>220</v>
      </c>
      <c r="B56" s="27" t="s">
        <v>80</v>
      </c>
      <c r="C56" s="27" t="s">
        <v>221</v>
      </c>
      <c r="D56" s="27" t="s">
        <v>7695</v>
      </c>
      <c r="E56" s="27" t="s">
        <v>222</v>
      </c>
      <c r="F56" t="s">
        <v>38</v>
      </c>
      <c r="G56" t="s">
        <v>30</v>
      </c>
      <c r="H56" t="s">
        <v>31</v>
      </c>
      <c r="I56" t="str">
        <f t="shared" si="7"/>
        <v/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T56" t="s">
        <v>43</v>
      </c>
      <c r="U56" t="str">
        <f t="shared" si="3"/>
        <v/>
      </c>
      <c r="V56" t="str">
        <f t="shared" si="4"/>
        <v/>
      </c>
    </row>
    <row r="57" spans="1:22" x14ac:dyDescent="0.2">
      <c r="A57" t="s">
        <v>223</v>
      </c>
      <c r="B57" t="s">
        <v>80</v>
      </c>
      <c r="C57" t="s">
        <v>224</v>
      </c>
      <c r="D57" t="s">
        <v>225</v>
      </c>
      <c r="E57" s="15"/>
      <c r="F57" t="s">
        <v>38</v>
      </c>
      <c r="G57" t="s">
        <v>30</v>
      </c>
      <c r="H57" t="s">
        <v>31</v>
      </c>
      <c r="I57" t="str">
        <f t="shared" si="7"/>
        <v>UFDB</v>
      </c>
      <c r="J57" t="s">
        <v>226</v>
      </c>
      <c r="K57" t="s">
        <v>33</v>
      </c>
      <c r="L57" t="s">
        <v>43</v>
      </c>
      <c r="M57" t="s">
        <v>33</v>
      </c>
      <c r="N57" t="s">
        <v>43</v>
      </c>
      <c r="O57" t="s">
        <v>33</v>
      </c>
      <c r="P57" t="s">
        <v>43</v>
      </c>
      <c r="Q57" t="s">
        <v>33</v>
      </c>
      <c r="R57" t="s">
        <v>43</v>
      </c>
      <c r="T57" t="s">
        <v>33</v>
      </c>
      <c r="U57" t="str">
        <f t="shared" si="3"/>
        <v/>
      </c>
      <c r="V57" t="str">
        <f t="shared" si="4"/>
        <v/>
      </c>
    </row>
    <row r="58" spans="1:22" x14ac:dyDescent="0.2">
      <c r="A58" t="s">
        <v>227</v>
      </c>
      <c r="B58" t="s">
        <v>225</v>
      </c>
      <c r="C58" t="s">
        <v>228</v>
      </c>
      <c r="D58" t="s">
        <v>229</v>
      </c>
      <c r="E58" s="15" t="s">
        <v>230</v>
      </c>
      <c r="F58" t="s">
        <v>38</v>
      </c>
      <c r="G58" t="s">
        <v>30</v>
      </c>
      <c r="H58" t="s">
        <v>31</v>
      </c>
      <c r="I58" t="str">
        <f t="shared" si="7"/>
        <v>UFDB</v>
      </c>
      <c r="J58" t="s">
        <v>231</v>
      </c>
      <c r="K58" t="s">
        <v>33</v>
      </c>
      <c r="L58" t="s">
        <v>43</v>
      </c>
      <c r="M58" t="s">
        <v>33</v>
      </c>
      <c r="N58" t="s">
        <v>43</v>
      </c>
      <c r="O58" t="s">
        <v>33</v>
      </c>
      <c r="P58" t="s">
        <v>43</v>
      </c>
      <c r="Q58" t="s">
        <v>33</v>
      </c>
      <c r="R58" t="s">
        <v>43</v>
      </c>
      <c r="T58" t="s">
        <v>33</v>
      </c>
      <c r="U58" t="str">
        <f t="shared" si="3"/>
        <v/>
      </c>
      <c r="V58" t="str">
        <f t="shared" si="4"/>
        <v/>
      </c>
    </row>
    <row r="59" spans="1:22" x14ac:dyDescent="0.2">
      <c r="A59" t="s">
        <v>232</v>
      </c>
      <c r="B59" t="s">
        <v>225</v>
      </c>
      <c r="C59" t="s">
        <v>233</v>
      </c>
      <c r="D59" t="s">
        <v>234</v>
      </c>
      <c r="E59" s="15" t="s">
        <v>235</v>
      </c>
      <c r="F59" t="s">
        <v>38</v>
      </c>
      <c r="G59" t="s">
        <v>30</v>
      </c>
      <c r="H59" t="s">
        <v>31</v>
      </c>
      <c r="I59" t="str">
        <f t="shared" si="7"/>
        <v>UFDB</v>
      </c>
      <c r="J59" t="s">
        <v>236</v>
      </c>
      <c r="K59" t="s">
        <v>33</v>
      </c>
      <c r="L59" t="s">
        <v>43</v>
      </c>
      <c r="M59" t="s">
        <v>33</v>
      </c>
      <c r="N59" t="s">
        <v>43</v>
      </c>
      <c r="O59" t="s">
        <v>33</v>
      </c>
      <c r="P59" t="s">
        <v>43</v>
      </c>
      <c r="Q59" t="s">
        <v>33</v>
      </c>
      <c r="R59" t="s">
        <v>43</v>
      </c>
      <c r="T59" t="s">
        <v>43</v>
      </c>
      <c r="U59" t="str">
        <f t="shared" si="3"/>
        <v/>
      </c>
      <c r="V59" t="str">
        <f t="shared" si="4"/>
        <v/>
      </c>
    </row>
    <row r="60" spans="1:22" x14ac:dyDescent="0.2">
      <c r="A60" t="s">
        <v>237</v>
      </c>
      <c r="B60" t="s">
        <v>124</v>
      </c>
      <c r="C60" t="s">
        <v>238</v>
      </c>
      <c r="D60" t="s">
        <v>239</v>
      </c>
      <c r="E60" s="15" t="s">
        <v>240</v>
      </c>
      <c r="F60" t="s">
        <v>38</v>
      </c>
      <c r="G60" t="s">
        <v>30</v>
      </c>
      <c r="H60" t="s">
        <v>31</v>
      </c>
      <c r="I60" t="str">
        <f t="shared" si="7"/>
        <v>UFDB</v>
      </c>
      <c r="J60" t="s">
        <v>241</v>
      </c>
      <c r="K60" t="s">
        <v>33</v>
      </c>
      <c r="L60" t="s">
        <v>43</v>
      </c>
      <c r="M60" t="s">
        <v>33</v>
      </c>
      <c r="N60" t="s">
        <v>43</v>
      </c>
      <c r="O60" t="s">
        <v>33</v>
      </c>
      <c r="P60" t="s">
        <v>43</v>
      </c>
      <c r="Q60" t="s">
        <v>33</v>
      </c>
      <c r="R60" t="s">
        <v>43</v>
      </c>
      <c r="T60" t="s">
        <v>43</v>
      </c>
      <c r="U60" t="str">
        <f t="shared" si="3"/>
        <v/>
      </c>
      <c r="V60" t="str">
        <f t="shared" si="4"/>
        <v/>
      </c>
    </row>
    <row r="61" spans="1:22" ht="16" x14ac:dyDescent="0.2">
      <c r="A61" t="s">
        <v>242</v>
      </c>
      <c r="C61" s="27" t="s">
        <v>243</v>
      </c>
      <c r="E61" t="s">
        <v>244</v>
      </c>
      <c r="F61" t="s">
        <v>38</v>
      </c>
      <c r="G61" t="s">
        <v>30</v>
      </c>
      <c r="H61" t="s">
        <v>31</v>
      </c>
      <c r="I61" t="str">
        <f t="shared" si="7"/>
        <v/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T61" t="s">
        <v>43</v>
      </c>
      <c r="U61" t="str">
        <f t="shared" si="3"/>
        <v/>
      </c>
      <c r="V61" t="str">
        <f t="shared" si="4"/>
        <v/>
      </c>
    </row>
    <row r="62" spans="1:22" x14ac:dyDescent="0.2">
      <c r="A62" t="s">
        <v>245</v>
      </c>
      <c r="B62" t="s">
        <v>124</v>
      </c>
      <c r="C62" t="s">
        <v>238</v>
      </c>
      <c r="D62" t="s">
        <v>246</v>
      </c>
      <c r="E62" t="s">
        <v>247</v>
      </c>
      <c r="F62" t="s">
        <v>38</v>
      </c>
      <c r="G62" t="s">
        <v>30</v>
      </c>
      <c r="H62" t="s">
        <v>31</v>
      </c>
      <c r="I62" t="str">
        <f t="shared" si="7"/>
        <v/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T62" t="s">
        <v>43</v>
      </c>
      <c r="U62" t="str">
        <f t="shared" si="3"/>
        <v/>
      </c>
      <c r="V62" t="str">
        <f t="shared" si="4"/>
        <v/>
      </c>
    </row>
    <row r="63" spans="1:22" ht="16" x14ac:dyDescent="0.2">
      <c r="A63" t="s">
        <v>248</v>
      </c>
      <c r="C63" s="27" t="s">
        <v>243</v>
      </c>
      <c r="E63" t="s">
        <v>249</v>
      </c>
      <c r="F63" t="s">
        <v>38</v>
      </c>
      <c r="G63" t="s">
        <v>30</v>
      </c>
      <c r="H63" t="s">
        <v>31</v>
      </c>
      <c r="I63" t="str">
        <f t="shared" si="7"/>
        <v/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T63" t="s">
        <v>43</v>
      </c>
      <c r="U63" t="str">
        <f t="shared" si="3"/>
        <v/>
      </c>
      <c r="V63" t="str">
        <f t="shared" si="4"/>
        <v/>
      </c>
    </row>
    <row r="64" spans="1:22" x14ac:dyDescent="0.2">
      <c r="A64" t="s">
        <v>250</v>
      </c>
      <c r="B64" t="s">
        <v>124</v>
      </c>
      <c r="C64" t="s">
        <v>238</v>
      </c>
      <c r="D64" t="s">
        <v>251</v>
      </c>
      <c r="E64" t="s">
        <v>252</v>
      </c>
      <c r="F64" t="s">
        <v>38</v>
      </c>
      <c r="G64" t="s">
        <v>30</v>
      </c>
      <c r="H64" t="s">
        <v>31</v>
      </c>
      <c r="I64" t="str">
        <f t="shared" si="7"/>
        <v/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T64" t="s">
        <v>43</v>
      </c>
      <c r="U64" t="str">
        <f t="shared" si="3"/>
        <v/>
      </c>
      <c r="V64" t="str">
        <f t="shared" si="4"/>
        <v/>
      </c>
    </row>
    <row r="65" spans="1:22" ht="16" x14ac:dyDescent="0.2">
      <c r="A65" t="s">
        <v>253</v>
      </c>
      <c r="C65" s="27" t="s">
        <v>243</v>
      </c>
      <c r="E65" t="s">
        <v>254</v>
      </c>
      <c r="F65" t="s">
        <v>38</v>
      </c>
      <c r="G65" t="s">
        <v>30</v>
      </c>
      <c r="H65" t="s">
        <v>31</v>
      </c>
      <c r="I65" t="str">
        <f t="shared" si="7"/>
        <v>UFDB</v>
      </c>
      <c r="J65" t="s">
        <v>255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T65" t="s">
        <v>43</v>
      </c>
      <c r="U65" t="str">
        <f t="shared" si="3"/>
        <v/>
      </c>
      <c r="V65" t="str">
        <f t="shared" si="4"/>
        <v>Ja</v>
      </c>
    </row>
    <row r="66" spans="1:22" x14ac:dyDescent="0.2">
      <c r="A66" t="s">
        <v>256</v>
      </c>
      <c r="B66" t="s">
        <v>124</v>
      </c>
      <c r="C66" t="s">
        <v>238</v>
      </c>
      <c r="D66" t="s">
        <v>257</v>
      </c>
      <c r="E66" t="s">
        <v>258</v>
      </c>
      <c r="F66" t="s">
        <v>38</v>
      </c>
      <c r="G66" t="s">
        <v>30</v>
      </c>
      <c r="H66" t="s">
        <v>31</v>
      </c>
      <c r="I66" t="str">
        <f t="shared" si="7"/>
        <v>UFDB</v>
      </c>
      <c r="J66" t="s">
        <v>259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T66" t="s">
        <v>43</v>
      </c>
      <c r="U66" t="str">
        <f t="shared" si="3"/>
        <v/>
      </c>
      <c r="V66" t="str">
        <f t="shared" si="4"/>
        <v>Ja</v>
      </c>
    </row>
    <row r="67" spans="1:22" ht="16" x14ac:dyDescent="0.2">
      <c r="A67" t="s">
        <v>260</v>
      </c>
      <c r="C67" s="27" t="s">
        <v>243</v>
      </c>
      <c r="E67" t="s">
        <v>261</v>
      </c>
      <c r="F67" t="s">
        <v>38</v>
      </c>
      <c r="G67" t="s">
        <v>30</v>
      </c>
      <c r="H67" t="s">
        <v>31</v>
      </c>
      <c r="I67" t="str">
        <f t="shared" si="7"/>
        <v>UFDB</v>
      </c>
      <c r="J67" t="s">
        <v>262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T67" t="s">
        <v>43</v>
      </c>
      <c r="U67" t="str">
        <f t="shared" si="3"/>
        <v/>
      </c>
      <c r="V67" t="str">
        <f t="shared" si="4"/>
        <v>Ja</v>
      </c>
    </row>
    <row r="68" spans="1:22" x14ac:dyDescent="0.2">
      <c r="A68" t="s">
        <v>263</v>
      </c>
      <c r="B68" t="s">
        <v>124</v>
      </c>
      <c r="C68" t="s">
        <v>238</v>
      </c>
      <c r="D68" t="s">
        <v>264</v>
      </c>
      <c r="E68" s="15" t="s">
        <v>265</v>
      </c>
      <c r="F68" t="s">
        <v>38</v>
      </c>
      <c r="G68" t="s">
        <v>30</v>
      </c>
      <c r="H68" t="s">
        <v>31</v>
      </c>
      <c r="I68" t="str">
        <f t="shared" si="7"/>
        <v>UFDB</v>
      </c>
      <c r="J68" t="s">
        <v>266</v>
      </c>
      <c r="K68" t="s">
        <v>33</v>
      </c>
      <c r="L68" t="s">
        <v>43</v>
      </c>
      <c r="M68" t="s">
        <v>33</v>
      </c>
      <c r="N68" t="s">
        <v>43</v>
      </c>
      <c r="O68" t="s">
        <v>33</v>
      </c>
      <c r="P68" t="s">
        <v>43</v>
      </c>
      <c r="Q68" t="s">
        <v>33</v>
      </c>
      <c r="R68" t="s">
        <v>43</v>
      </c>
      <c r="S68" t="s">
        <v>33</v>
      </c>
      <c r="T68" t="s">
        <v>33</v>
      </c>
      <c r="U68" t="str">
        <f t="shared" si="3"/>
        <v/>
      </c>
      <c r="V68" t="str">
        <f t="shared" si="4"/>
        <v/>
      </c>
    </row>
    <row r="69" spans="1:22" ht="16" x14ac:dyDescent="0.2">
      <c r="A69" t="s">
        <v>267</v>
      </c>
      <c r="C69" s="27" t="s">
        <v>243</v>
      </c>
      <c r="E69" t="s">
        <v>268</v>
      </c>
      <c r="F69" t="s">
        <v>38</v>
      </c>
      <c r="G69" t="s">
        <v>139</v>
      </c>
      <c r="H69" t="s">
        <v>31</v>
      </c>
      <c r="I69" t="str">
        <f t="shared" si="7"/>
        <v>UFDB</v>
      </c>
      <c r="J69" t="s">
        <v>269</v>
      </c>
      <c r="K69" t="s">
        <v>33</v>
      </c>
      <c r="L69" t="s">
        <v>43</v>
      </c>
      <c r="M69" t="s">
        <v>33</v>
      </c>
      <c r="N69" t="s">
        <v>43</v>
      </c>
      <c r="O69" t="s">
        <v>33</v>
      </c>
      <c r="P69" t="s">
        <v>43</v>
      </c>
      <c r="Q69" t="s">
        <v>43</v>
      </c>
      <c r="R69" t="s">
        <v>43</v>
      </c>
      <c r="T69" t="s">
        <v>43</v>
      </c>
      <c r="U69" t="str">
        <f t="shared" si="3"/>
        <v/>
      </c>
      <c r="V69" t="str">
        <f t="shared" si="4"/>
        <v/>
      </c>
    </row>
    <row r="70" spans="1:22" x14ac:dyDescent="0.2">
      <c r="A70" t="s">
        <v>270</v>
      </c>
      <c r="B70" t="s">
        <v>276</v>
      </c>
      <c r="C70" t="s">
        <v>271</v>
      </c>
      <c r="D70" t="s">
        <v>272</v>
      </c>
      <c r="E70" s="15" t="s">
        <v>273</v>
      </c>
      <c r="F70" t="s">
        <v>38</v>
      </c>
      <c r="G70" t="s">
        <v>30</v>
      </c>
      <c r="H70" t="s">
        <v>31</v>
      </c>
      <c r="I70" t="str">
        <f t="shared" si="7"/>
        <v>UFDB</v>
      </c>
      <c r="J70" t="s">
        <v>274</v>
      </c>
      <c r="K70" t="s">
        <v>33</v>
      </c>
      <c r="L70" t="s">
        <v>43</v>
      </c>
      <c r="M70" t="s">
        <v>33</v>
      </c>
      <c r="N70" t="s">
        <v>43</v>
      </c>
      <c r="O70" t="s">
        <v>33</v>
      </c>
      <c r="P70" t="s">
        <v>43</v>
      </c>
      <c r="Q70" t="s">
        <v>33</v>
      </c>
      <c r="R70" t="s">
        <v>43</v>
      </c>
      <c r="T70" t="s">
        <v>33</v>
      </c>
      <c r="U70" t="str">
        <f t="shared" si="3"/>
        <v/>
      </c>
      <c r="V70" t="str">
        <f t="shared" si="4"/>
        <v/>
      </c>
    </row>
    <row r="71" spans="1:22" x14ac:dyDescent="0.2">
      <c r="A71" t="s">
        <v>275</v>
      </c>
      <c r="B71" t="s">
        <v>276</v>
      </c>
      <c r="C71" t="s">
        <v>277</v>
      </c>
      <c r="D71" t="s">
        <v>36</v>
      </c>
      <c r="E71" s="15" t="s">
        <v>278</v>
      </c>
      <c r="F71" t="s">
        <v>38</v>
      </c>
      <c r="G71" t="s">
        <v>30</v>
      </c>
      <c r="H71" t="s">
        <v>31</v>
      </c>
      <c r="I71" t="str">
        <f t="shared" si="7"/>
        <v>UFDB</v>
      </c>
      <c r="J71" t="s">
        <v>279</v>
      </c>
      <c r="K71" t="s">
        <v>33</v>
      </c>
      <c r="L71" t="s">
        <v>43</v>
      </c>
      <c r="M71" t="s">
        <v>33</v>
      </c>
      <c r="N71" t="s">
        <v>43</v>
      </c>
      <c r="O71" t="s">
        <v>33</v>
      </c>
      <c r="P71" t="s">
        <v>43</v>
      </c>
      <c r="Q71" t="s">
        <v>33</v>
      </c>
      <c r="R71" t="s">
        <v>43</v>
      </c>
      <c r="S71" t="s">
        <v>33</v>
      </c>
      <c r="T71" t="s">
        <v>33</v>
      </c>
      <c r="U71" t="str">
        <f t="shared" si="3"/>
        <v/>
      </c>
      <c r="V71" t="str">
        <f t="shared" si="4"/>
        <v/>
      </c>
    </row>
    <row r="72" spans="1:22" x14ac:dyDescent="0.2">
      <c r="A72" t="s">
        <v>280</v>
      </c>
      <c r="B72" t="s">
        <v>276</v>
      </c>
      <c r="C72" t="s">
        <v>281</v>
      </c>
      <c r="D72" t="s">
        <v>36</v>
      </c>
      <c r="E72" s="15" t="s">
        <v>282</v>
      </c>
      <c r="F72" t="s">
        <v>38</v>
      </c>
      <c r="G72" t="s">
        <v>30</v>
      </c>
      <c r="H72" t="s">
        <v>31</v>
      </c>
      <c r="I72" t="str">
        <f t="shared" si="7"/>
        <v>UFDB</v>
      </c>
      <c r="J72" t="s">
        <v>283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tr">
        <f t="shared" si="3"/>
        <v/>
      </c>
      <c r="V72" t="str">
        <f t="shared" si="4"/>
        <v/>
      </c>
    </row>
    <row r="73" spans="1:22" x14ac:dyDescent="0.2">
      <c r="A73" t="s">
        <v>284</v>
      </c>
      <c r="B73" t="s">
        <v>25</v>
      </c>
      <c r="C73" t="s">
        <v>26</v>
      </c>
      <c r="D73" t="s">
        <v>285</v>
      </c>
      <c r="E73" t="s">
        <v>286</v>
      </c>
      <c r="F73" t="s">
        <v>38</v>
      </c>
      <c r="G73" t="s">
        <v>30</v>
      </c>
      <c r="H73" t="s">
        <v>31</v>
      </c>
      <c r="I73" t="str">
        <f t="shared" si="7"/>
        <v>UFDB</v>
      </c>
      <c r="J73" t="s">
        <v>287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T73" t="s">
        <v>43</v>
      </c>
      <c r="U73" t="str">
        <f t="shared" si="3"/>
        <v/>
      </c>
      <c r="V73" t="str">
        <f t="shared" si="4"/>
        <v>Ja</v>
      </c>
    </row>
    <row r="74" spans="1:22" x14ac:dyDescent="0.2">
      <c r="A74" t="s">
        <v>288</v>
      </c>
      <c r="B74" t="s">
        <v>80</v>
      </c>
      <c r="C74" t="s">
        <v>289</v>
      </c>
      <c r="D74" t="s">
        <v>143</v>
      </c>
      <c r="E74" s="15" t="s">
        <v>290</v>
      </c>
      <c r="F74" t="s">
        <v>38</v>
      </c>
      <c r="G74" t="s">
        <v>30</v>
      </c>
      <c r="H74" t="s">
        <v>31</v>
      </c>
      <c r="I74" t="str">
        <f t="shared" si="7"/>
        <v>UFDB</v>
      </c>
      <c r="J74" t="s">
        <v>291</v>
      </c>
      <c r="K74" t="s">
        <v>33</v>
      </c>
      <c r="L74" t="s">
        <v>43</v>
      </c>
      <c r="M74" t="s">
        <v>33</v>
      </c>
      <c r="N74" t="s">
        <v>43</v>
      </c>
      <c r="O74" t="s">
        <v>33</v>
      </c>
      <c r="P74" t="s">
        <v>43</v>
      </c>
      <c r="Q74" t="s">
        <v>33</v>
      </c>
      <c r="R74" t="s">
        <v>43</v>
      </c>
      <c r="T74" t="s">
        <v>43</v>
      </c>
      <c r="U74" t="str">
        <f t="shared" si="3"/>
        <v/>
      </c>
      <c r="V74" t="str">
        <f t="shared" si="4"/>
        <v/>
      </c>
    </row>
    <row r="75" spans="1:22" ht="16" x14ac:dyDescent="0.2">
      <c r="A75" t="s">
        <v>292</v>
      </c>
      <c r="B75" s="27" t="s">
        <v>80</v>
      </c>
      <c r="C75" s="27" t="s">
        <v>293</v>
      </c>
      <c r="D75" s="27" t="s">
        <v>36</v>
      </c>
      <c r="E75" s="15" t="s">
        <v>294</v>
      </c>
      <c r="F75" t="s">
        <v>38</v>
      </c>
      <c r="G75" t="s">
        <v>30</v>
      </c>
      <c r="H75" t="s">
        <v>31</v>
      </c>
      <c r="I75" t="str">
        <f t="shared" si="7"/>
        <v>UFDB</v>
      </c>
      <c r="J75" t="s">
        <v>295</v>
      </c>
      <c r="K75" t="s">
        <v>33</v>
      </c>
      <c r="L75" t="s">
        <v>43</v>
      </c>
      <c r="M75" t="s">
        <v>33</v>
      </c>
      <c r="N75" t="s">
        <v>43</v>
      </c>
      <c r="O75" t="s">
        <v>33</v>
      </c>
      <c r="P75" t="s">
        <v>43</v>
      </c>
      <c r="Q75" t="s">
        <v>33</v>
      </c>
      <c r="R75" t="s">
        <v>43</v>
      </c>
      <c r="T75" t="s">
        <v>43</v>
      </c>
      <c r="U75" t="str">
        <f t="shared" si="3"/>
        <v/>
      </c>
      <c r="V75" t="str">
        <f t="shared" si="4"/>
        <v/>
      </c>
    </row>
    <row r="76" spans="1:22" ht="16" x14ac:dyDescent="0.2">
      <c r="A76" t="s">
        <v>296</v>
      </c>
      <c r="B76" s="27"/>
      <c r="C76" s="27" t="s">
        <v>155</v>
      </c>
      <c r="D76" s="27" t="s">
        <v>7694</v>
      </c>
      <c r="E76" t="s">
        <v>297</v>
      </c>
      <c r="F76" t="s">
        <v>38</v>
      </c>
      <c r="G76" t="s">
        <v>30</v>
      </c>
      <c r="H76" t="s">
        <v>31</v>
      </c>
      <c r="I76" t="str">
        <f t="shared" si="7"/>
        <v>UFDB</v>
      </c>
      <c r="J76" t="s">
        <v>298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T76" t="s">
        <v>43</v>
      </c>
      <c r="U76" t="str">
        <f t="shared" si="3"/>
        <v/>
      </c>
      <c r="V76" t="str">
        <f t="shared" si="4"/>
        <v>Ja</v>
      </c>
    </row>
    <row r="77" spans="1:22" x14ac:dyDescent="0.2">
      <c r="A77" t="s">
        <v>299</v>
      </c>
      <c r="B77" t="s">
        <v>25</v>
      </c>
      <c r="C77" t="s">
        <v>300</v>
      </c>
      <c r="D77" t="s">
        <v>301</v>
      </c>
      <c r="E77" t="s">
        <v>302</v>
      </c>
      <c r="F77" t="s">
        <v>38</v>
      </c>
      <c r="G77" t="s">
        <v>30</v>
      </c>
      <c r="H77" t="s">
        <v>31</v>
      </c>
      <c r="I77" t="str">
        <f t="shared" si="7"/>
        <v>UFDB</v>
      </c>
      <c r="J77" t="s">
        <v>303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T77" t="s">
        <v>43</v>
      </c>
      <c r="U77" t="str">
        <f t="shared" si="3"/>
        <v/>
      </c>
      <c r="V77" t="str">
        <f t="shared" si="4"/>
        <v>Ja</v>
      </c>
    </row>
    <row r="78" spans="1:22" x14ac:dyDescent="0.2">
      <c r="A78" t="s">
        <v>304</v>
      </c>
      <c r="B78" t="s">
        <v>80</v>
      </c>
      <c r="C78" t="s">
        <v>305</v>
      </c>
      <c r="D78" t="s">
        <v>306</v>
      </c>
      <c r="E78" s="15"/>
      <c r="F78" t="s">
        <v>38</v>
      </c>
      <c r="G78" t="s">
        <v>30</v>
      </c>
      <c r="H78" t="s">
        <v>31</v>
      </c>
      <c r="I78" t="str">
        <f t="shared" si="7"/>
        <v>UFDB</v>
      </c>
      <c r="J78" t="s">
        <v>307</v>
      </c>
      <c r="K78" t="s">
        <v>33</v>
      </c>
      <c r="L78" t="s">
        <v>43</v>
      </c>
      <c r="M78" t="s">
        <v>33</v>
      </c>
      <c r="N78" t="s">
        <v>43</v>
      </c>
      <c r="O78" t="s">
        <v>33</v>
      </c>
      <c r="P78" t="s">
        <v>43</v>
      </c>
      <c r="Q78" t="s">
        <v>33</v>
      </c>
      <c r="R78" t="s">
        <v>43</v>
      </c>
      <c r="T78" t="s">
        <v>43</v>
      </c>
      <c r="U78" t="str">
        <f t="shared" si="3"/>
        <v/>
      </c>
      <c r="V78" t="str">
        <f t="shared" si="4"/>
        <v/>
      </c>
    </row>
    <row r="79" spans="1:22" x14ac:dyDescent="0.2">
      <c r="A79" t="s">
        <v>308</v>
      </c>
      <c r="B79" t="s">
        <v>306</v>
      </c>
      <c r="C79" t="s">
        <v>309</v>
      </c>
      <c r="D79" t="s">
        <v>36</v>
      </c>
      <c r="E79" s="15" t="s">
        <v>310</v>
      </c>
      <c r="F79" t="s">
        <v>38</v>
      </c>
      <c r="G79" t="s">
        <v>30</v>
      </c>
      <c r="H79" t="s">
        <v>31</v>
      </c>
      <c r="I79" t="str">
        <f t="shared" si="7"/>
        <v>UFDB</v>
      </c>
      <c r="J79" t="s">
        <v>311</v>
      </c>
      <c r="K79" t="s">
        <v>33</v>
      </c>
      <c r="L79" t="s">
        <v>43</v>
      </c>
      <c r="M79" t="s">
        <v>33</v>
      </c>
      <c r="N79" t="s">
        <v>43</v>
      </c>
      <c r="O79" t="s">
        <v>33</v>
      </c>
      <c r="P79" t="s">
        <v>43</v>
      </c>
      <c r="Q79" t="s">
        <v>33</v>
      </c>
      <c r="R79" t="s">
        <v>43</v>
      </c>
      <c r="T79" t="s">
        <v>43</v>
      </c>
      <c r="U79" t="str">
        <f t="shared" si="3"/>
        <v/>
      </c>
      <c r="V79" t="str">
        <f t="shared" si="4"/>
        <v/>
      </c>
    </row>
    <row r="80" spans="1:22" x14ac:dyDescent="0.2">
      <c r="A80" t="s">
        <v>312</v>
      </c>
      <c r="B80" t="s">
        <v>306</v>
      </c>
      <c r="C80" t="s">
        <v>313</v>
      </c>
      <c r="D80" t="s">
        <v>225</v>
      </c>
      <c r="E80" s="15"/>
      <c r="F80" t="s">
        <v>38</v>
      </c>
      <c r="G80" t="s">
        <v>30</v>
      </c>
      <c r="H80" t="s">
        <v>31</v>
      </c>
      <c r="I80" t="str">
        <f t="shared" si="7"/>
        <v>UFDB</v>
      </c>
      <c r="J80" t="s">
        <v>314</v>
      </c>
      <c r="K80" t="s">
        <v>33</v>
      </c>
      <c r="L80" t="s">
        <v>43</v>
      </c>
      <c r="M80" t="s">
        <v>33</v>
      </c>
      <c r="N80" t="s">
        <v>43</v>
      </c>
      <c r="O80" t="s">
        <v>33</v>
      </c>
      <c r="P80" t="s">
        <v>43</v>
      </c>
      <c r="Q80" t="s">
        <v>33</v>
      </c>
      <c r="R80" t="s">
        <v>43</v>
      </c>
      <c r="T80" t="s">
        <v>43</v>
      </c>
      <c r="U80" t="str">
        <f t="shared" ref="U80:U143" si="8">IF(AND(COUNTIF($K80:$R80,"Ja")&gt;0,OR($I80="",AND($I80="UFDB",$J80=""))),"Ja","")</f>
        <v/>
      </c>
      <c r="V80" t="str">
        <f t="shared" ref="V80:V143" si="9">IF(AND(COUNTIF($K80:$R80,"Ja")=0,$I80&lt;&gt;""),"Ja","")</f>
        <v/>
      </c>
    </row>
    <row r="81" spans="1:22" x14ac:dyDescent="0.2">
      <c r="A81" t="s">
        <v>315</v>
      </c>
      <c r="B81" t="s">
        <v>225</v>
      </c>
      <c r="C81" t="s">
        <v>228</v>
      </c>
      <c r="D81" t="s">
        <v>229</v>
      </c>
      <c r="E81" s="15" t="s">
        <v>316</v>
      </c>
      <c r="F81" t="s">
        <v>38</v>
      </c>
      <c r="G81" t="s">
        <v>30</v>
      </c>
      <c r="H81" t="s">
        <v>31</v>
      </c>
      <c r="I81" t="str">
        <f t="shared" si="7"/>
        <v>UFDB</v>
      </c>
      <c r="J81" t="s">
        <v>317</v>
      </c>
      <c r="K81" t="s">
        <v>33</v>
      </c>
      <c r="L81" t="s">
        <v>43</v>
      </c>
      <c r="M81" t="s">
        <v>33</v>
      </c>
      <c r="N81" t="s">
        <v>43</v>
      </c>
      <c r="O81" t="s">
        <v>33</v>
      </c>
      <c r="P81" t="s">
        <v>43</v>
      </c>
      <c r="Q81" t="s">
        <v>33</v>
      </c>
      <c r="R81" t="s">
        <v>43</v>
      </c>
      <c r="T81" t="s">
        <v>43</v>
      </c>
      <c r="U81" t="str">
        <f t="shared" si="8"/>
        <v/>
      </c>
      <c r="V81" t="str">
        <f t="shared" si="9"/>
        <v/>
      </c>
    </row>
    <row r="82" spans="1:22" x14ac:dyDescent="0.2">
      <c r="A82" t="s">
        <v>318</v>
      </c>
      <c r="B82" t="s">
        <v>225</v>
      </c>
      <c r="C82" t="s">
        <v>233</v>
      </c>
      <c r="D82" t="s">
        <v>234</v>
      </c>
      <c r="E82" s="15" t="s">
        <v>319</v>
      </c>
      <c r="F82" t="s">
        <v>29</v>
      </c>
      <c r="G82" t="s">
        <v>30</v>
      </c>
      <c r="H82" t="s">
        <v>31</v>
      </c>
      <c r="I82" t="str">
        <f t="shared" si="7"/>
        <v>UFDB</v>
      </c>
      <c r="J82" t="s">
        <v>320</v>
      </c>
      <c r="K82" t="s">
        <v>33</v>
      </c>
      <c r="L82" t="s">
        <v>43</v>
      </c>
      <c r="M82" t="s">
        <v>33</v>
      </c>
      <c r="N82" t="s">
        <v>43</v>
      </c>
      <c r="O82" t="s">
        <v>33</v>
      </c>
      <c r="P82" t="s">
        <v>43</v>
      </c>
      <c r="Q82" t="s">
        <v>33</v>
      </c>
      <c r="R82" t="s">
        <v>43</v>
      </c>
      <c r="T82" t="s">
        <v>43</v>
      </c>
      <c r="U82" t="str">
        <f t="shared" si="8"/>
        <v/>
      </c>
      <c r="V82" t="str">
        <f t="shared" si="9"/>
        <v/>
      </c>
    </row>
    <row r="83" spans="1:22" x14ac:dyDescent="0.2">
      <c r="A83" t="s">
        <v>321</v>
      </c>
      <c r="B83" t="s">
        <v>306</v>
      </c>
      <c r="C83" t="s">
        <v>322</v>
      </c>
      <c r="D83" t="s">
        <v>225</v>
      </c>
      <c r="E83" s="15"/>
      <c r="F83" t="s">
        <v>323</v>
      </c>
      <c r="G83" t="s">
        <v>30</v>
      </c>
      <c r="H83" t="s">
        <v>31</v>
      </c>
      <c r="I83" t="str">
        <f t="shared" si="7"/>
        <v>UFDB</v>
      </c>
      <c r="J83" t="s">
        <v>324</v>
      </c>
      <c r="K83" t="s">
        <v>33</v>
      </c>
      <c r="L83" t="s">
        <v>43</v>
      </c>
      <c r="M83" t="s">
        <v>33</v>
      </c>
      <c r="N83" t="s">
        <v>43</v>
      </c>
      <c r="O83" t="s">
        <v>33</v>
      </c>
      <c r="P83" t="s">
        <v>43</v>
      </c>
      <c r="Q83" t="s">
        <v>33</v>
      </c>
      <c r="R83" t="s">
        <v>43</v>
      </c>
      <c r="T83" t="s">
        <v>43</v>
      </c>
      <c r="U83" t="str">
        <f t="shared" si="8"/>
        <v/>
      </c>
      <c r="V83" t="str">
        <f t="shared" si="9"/>
        <v/>
      </c>
    </row>
    <row r="84" spans="1:22" x14ac:dyDescent="0.2">
      <c r="A84" t="s">
        <v>325</v>
      </c>
      <c r="B84" t="s">
        <v>225</v>
      </c>
      <c r="C84" t="s">
        <v>228</v>
      </c>
      <c r="D84" t="s">
        <v>229</v>
      </c>
      <c r="E84" s="15" t="s">
        <v>326</v>
      </c>
      <c r="F84" t="s">
        <v>323</v>
      </c>
      <c r="G84" t="s">
        <v>30</v>
      </c>
      <c r="H84" t="s">
        <v>31</v>
      </c>
      <c r="I84" t="str">
        <f t="shared" si="7"/>
        <v>UFDB</v>
      </c>
      <c r="J84" t="s">
        <v>327</v>
      </c>
      <c r="K84" t="s">
        <v>33</v>
      </c>
      <c r="L84" t="s">
        <v>43</v>
      </c>
      <c r="M84" t="s">
        <v>33</v>
      </c>
      <c r="N84" t="s">
        <v>43</v>
      </c>
      <c r="O84" t="s">
        <v>33</v>
      </c>
      <c r="P84" t="s">
        <v>43</v>
      </c>
      <c r="Q84" t="s">
        <v>33</v>
      </c>
      <c r="R84" t="s">
        <v>43</v>
      </c>
      <c r="T84" t="s">
        <v>43</v>
      </c>
      <c r="U84" t="str">
        <f t="shared" si="8"/>
        <v/>
      </c>
      <c r="V84" t="str">
        <f t="shared" si="9"/>
        <v/>
      </c>
    </row>
    <row r="85" spans="1:22" x14ac:dyDescent="0.2">
      <c r="A85" t="s">
        <v>328</v>
      </c>
      <c r="B85" t="s">
        <v>225</v>
      </c>
      <c r="C85" t="s">
        <v>233</v>
      </c>
      <c r="D85" t="s">
        <v>234</v>
      </c>
      <c r="E85" s="15" t="s">
        <v>329</v>
      </c>
      <c r="F85" t="s">
        <v>323</v>
      </c>
      <c r="G85" t="s">
        <v>30</v>
      </c>
      <c r="H85" t="s">
        <v>31</v>
      </c>
      <c r="I85" t="str">
        <f t="shared" si="7"/>
        <v>UFDB</v>
      </c>
      <c r="J85" t="s">
        <v>330</v>
      </c>
      <c r="K85" t="s">
        <v>33</v>
      </c>
      <c r="L85" t="s">
        <v>43</v>
      </c>
      <c r="M85" t="s">
        <v>33</v>
      </c>
      <c r="N85" t="s">
        <v>43</v>
      </c>
      <c r="O85" t="s">
        <v>33</v>
      </c>
      <c r="P85" t="s">
        <v>43</v>
      </c>
      <c r="Q85" t="s">
        <v>33</v>
      </c>
      <c r="R85" t="s">
        <v>43</v>
      </c>
      <c r="T85" t="s">
        <v>43</v>
      </c>
      <c r="U85" t="str">
        <f t="shared" si="8"/>
        <v/>
      </c>
      <c r="V85" t="str">
        <f t="shared" si="9"/>
        <v/>
      </c>
    </row>
    <row r="86" spans="1:22" x14ac:dyDescent="0.2">
      <c r="A86" t="s">
        <v>331</v>
      </c>
      <c r="B86" t="s">
        <v>306</v>
      </c>
      <c r="C86" t="s">
        <v>332</v>
      </c>
      <c r="D86" t="s">
        <v>333</v>
      </c>
      <c r="E86" s="15" t="s">
        <v>334</v>
      </c>
      <c r="F86" t="s">
        <v>323</v>
      </c>
      <c r="G86" t="s">
        <v>30</v>
      </c>
      <c r="H86" t="s">
        <v>31</v>
      </c>
      <c r="I86" t="str">
        <f t="shared" si="7"/>
        <v>UFDB</v>
      </c>
      <c r="J86" t="s">
        <v>335</v>
      </c>
      <c r="K86" t="s">
        <v>33</v>
      </c>
      <c r="L86" t="s">
        <v>43</v>
      </c>
      <c r="M86" t="s">
        <v>33</v>
      </c>
      <c r="N86" t="s">
        <v>43</v>
      </c>
      <c r="O86" t="s">
        <v>33</v>
      </c>
      <c r="P86" t="s">
        <v>43</v>
      </c>
      <c r="Q86" t="s">
        <v>33</v>
      </c>
      <c r="R86" t="s">
        <v>43</v>
      </c>
      <c r="T86" t="s">
        <v>43</v>
      </c>
      <c r="U86" t="str">
        <f t="shared" si="8"/>
        <v/>
      </c>
      <c r="V86" t="str">
        <f t="shared" si="9"/>
        <v/>
      </c>
    </row>
    <row r="87" spans="1:22" x14ac:dyDescent="0.2">
      <c r="A87" t="s">
        <v>336</v>
      </c>
      <c r="B87" t="s">
        <v>306</v>
      </c>
      <c r="C87" t="s">
        <v>337</v>
      </c>
      <c r="D87" t="s">
        <v>225</v>
      </c>
      <c r="E87" s="15"/>
      <c r="F87" t="s">
        <v>323</v>
      </c>
      <c r="G87" t="s">
        <v>30</v>
      </c>
      <c r="H87" t="s">
        <v>31</v>
      </c>
      <c r="I87" t="str">
        <f t="shared" si="7"/>
        <v>UFDB</v>
      </c>
      <c r="J87" t="s">
        <v>338</v>
      </c>
      <c r="K87" t="s">
        <v>33</v>
      </c>
      <c r="L87" t="s">
        <v>43</v>
      </c>
      <c r="M87" t="s">
        <v>33</v>
      </c>
      <c r="N87" t="s">
        <v>43</v>
      </c>
      <c r="O87" t="s">
        <v>33</v>
      </c>
      <c r="P87" t="s">
        <v>43</v>
      </c>
      <c r="Q87" t="s">
        <v>33</v>
      </c>
      <c r="R87" t="s">
        <v>43</v>
      </c>
      <c r="T87" t="s">
        <v>43</v>
      </c>
      <c r="U87" t="str">
        <f t="shared" si="8"/>
        <v/>
      </c>
      <c r="V87" t="str">
        <f t="shared" si="9"/>
        <v/>
      </c>
    </row>
    <row r="88" spans="1:22" x14ac:dyDescent="0.2">
      <c r="A88" t="s">
        <v>339</v>
      </c>
      <c r="B88" t="s">
        <v>225</v>
      </c>
      <c r="C88" t="s">
        <v>228</v>
      </c>
      <c r="D88" t="s">
        <v>229</v>
      </c>
      <c r="E88" s="15" t="s">
        <v>340</v>
      </c>
      <c r="F88" t="s">
        <v>38</v>
      </c>
      <c r="G88" t="s">
        <v>139</v>
      </c>
      <c r="H88" t="s">
        <v>31</v>
      </c>
      <c r="I88" t="s">
        <v>341</v>
      </c>
      <c r="K88" t="s">
        <v>33</v>
      </c>
      <c r="L88" t="s">
        <v>43</v>
      </c>
      <c r="M88" t="s">
        <v>33</v>
      </c>
      <c r="N88" t="s">
        <v>43</v>
      </c>
      <c r="O88" t="s">
        <v>33</v>
      </c>
      <c r="P88" t="s">
        <v>43</v>
      </c>
      <c r="Q88" t="s">
        <v>33</v>
      </c>
      <c r="R88" t="s">
        <v>43</v>
      </c>
      <c r="T88" t="s">
        <v>43</v>
      </c>
      <c r="U88" t="str">
        <f t="shared" si="8"/>
        <v/>
      </c>
      <c r="V88" t="str">
        <f t="shared" si="9"/>
        <v/>
      </c>
    </row>
    <row r="89" spans="1:22" x14ac:dyDescent="0.2">
      <c r="A89" t="s">
        <v>342</v>
      </c>
      <c r="B89" t="s">
        <v>225</v>
      </c>
      <c r="C89" t="s">
        <v>233</v>
      </c>
      <c r="D89" t="s">
        <v>234</v>
      </c>
      <c r="E89" s="15" t="s">
        <v>343</v>
      </c>
      <c r="F89" t="s">
        <v>323</v>
      </c>
      <c r="G89" t="s">
        <v>30</v>
      </c>
      <c r="H89" t="s">
        <v>31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T89" t="s">
        <v>43</v>
      </c>
      <c r="U89" t="str">
        <f t="shared" si="8"/>
        <v/>
      </c>
      <c r="V89" t="str">
        <f t="shared" si="9"/>
        <v/>
      </c>
    </row>
    <row r="90" spans="1:22" x14ac:dyDescent="0.2">
      <c r="A90" t="s">
        <v>344</v>
      </c>
      <c r="B90" t="s">
        <v>306</v>
      </c>
      <c r="C90" t="s">
        <v>345</v>
      </c>
      <c r="D90" t="s">
        <v>160</v>
      </c>
      <c r="E90" s="15" t="s">
        <v>346</v>
      </c>
      <c r="F90" t="s">
        <v>323</v>
      </c>
      <c r="G90" t="s">
        <v>30</v>
      </c>
      <c r="H90" t="s">
        <v>31</v>
      </c>
      <c r="I90" t="s">
        <v>347</v>
      </c>
      <c r="K90" t="s">
        <v>33</v>
      </c>
      <c r="L90" t="s">
        <v>43</v>
      </c>
      <c r="M90" t="s">
        <v>33</v>
      </c>
      <c r="N90" t="s">
        <v>43</v>
      </c>
      <c r="O90" t="s">
        <v>33</v>
      </c>
      <c r="P90" t="s">
        <v>43</v>
      </c>
      <c r="Q90" t="s">
        <v>33</v>
      </c>
      <c r="R90" t="s">
        <v>43</v>
      </c>
      <c r="T90" t="s">
        <v>43</v>
      </c>
      <c r="U90" t="str">
        <f t="shared" si="8"/>
        <v/>
      </c>
      <c r="V90" t="str">
        <f t="shared" si="9"/>
        <v/>
      </c>
    </row>
    <row r="91" spans="1:22" x14ac:dyDescent="0.2">
      <c r="A91" t="s">
        <v>348</v>
      </c>
      <c r="B91" t="s">
        <v>80</v>
      </c>
      <c r="C91" t="s">
        <v>349</v>
      </c>
      <c r="D91" t="s">
        <v>350</v>
      </c>
      <c r="E91" s="15"/>
      <c r="F91" t="s">
        <v>323</v>
      </c>
      <c r="G91" t="s">
        <v>30</v>
      </c>
      <c r="H91" t="s">
        <v>31</v>
      </c>
      <c r="I91" t="s">
        <v>351</v>
      </c>
      <c r="K91" t="s">
        <v>33</v>
      </c>
      <c r="L91" t="s">
        <v>43</v>
      </c>
      <c r="M91" t="s">
        <v>33</v>
      </c>
      <c r="N91" t="s">
        <v>43</v>
      </c>
      <c r="O91" t="s">
        <v>33</v>
      </c>
      <c r="P91" t="s">
        <v>43</v>
      </c>
      <c r="Q91" t="s">
        <v>33</v>
      </c>
      <c r="R91" t="s">
        <v>43</v>
      </c>
      <c r="T91" t="s">
        <v>43</v>
      </c>
      <c r="U91" t="str">
        <f t="shared" si="8"/>
        <v/>
      </c>
      <c r="V91" t="str">
        <f t="shared" si="9"/>
        <v/>
      </c>
    </row>
    <row r="92" spans="1:22" ht="16" x14ac:dyDescent="0.2">
      <c r="A92" t="s">
        <v>352</v>
      </c>
      <c r="B92" s="27" t="s">
        <v>350</v>
      </c>
      <c r="C92" s="27" t="s">
        <v>353</v>
      </c>
      <c r="D92" s="27" t="s">
        <v>7700</v>
      </c>
      <c r="E92" s="15"/>
      <c r="F92" t="s">
        <v>38</v>
      </c>
      <c r="G92" t="s">
        <v>30</v>
      </c>
      <c r="H92" t="s">
        <v>31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T92" t="s">
        <v>43</v>
      </c>
      <c r="U92" t="str">
        <f t="shared" si="8"/>
        <v/>
      </c>
      <c r="V92" t="str">
        <f t="shared" si="9"/>
        <v/>
      </c>
    </row>
    <row r="93" spans="1:22" x14ac:dyDescent="0.2">
      <c r="A93" t="s">
        <v>355</v>
      </c>
      <c r="B93" t="s">
        <v>354</v>
      </c>
      <c r="C93" t="s">
        <v>356</v>
      </c>
      <c r="D93" t="s">
        <v>357</v>
      </c>
      <c r="E93" s="15"/>
      <c r="F93" t="s">
        <v>323</v>
      </c>
      <c r="G93" t="s">
        <v>139</v>
      </c>
      <c r="H93" t="s">
        <v>31</v>
      </c>
      <c r="I93" t="str">
        <f>IF(J93&lt;&gt;"","UFDB","")</f>
        <v>UFDB</v>
      </c>
      <c r="J93" t="s">
        <v>358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33</v>
      </c>
      <c r="R93" t="s">
        <v>43</v>
      </c>
      <c r="T93" t="s">
        <v>43</v>
      </c>
      <c r="U93" t="str">
        <f t="shared" si="8"/>
        <v/>
      </c>
      <c r="V93" t="str">
        <f t="shared" si="9"/>
        <v/>
      </c>
    </row>
    <row r="94" spans="1:22" x14ac:dyDescent="0.2">
      <c r="A94" t="s">
        <v>359</v>
      </c>
      <c r="B94" t="s">
        <v>357</v>
      </c>
      <c r="C94" t="s">
        <v>26</v>
      </c>
      <c r="D94" t="s">
        <v>27</v>
      </c>
      <c r="E94" s="15" t="s">
        <v>360</v>
      </c>
      <c r="F94" t="s">
        <v>29</v>
      </c>
      <c r="G94" t="s">
        <v>30</v>
      </c>
      <c r="H94" t="s">
        <v>31</v>
      </c>
      <c r="I94" t="str">
        <f>IF(J94&lt;&gt;"","UFDB","")</f>
        <v>UFDB</v>
      </c>
      <c r="J94" t="s">
        <v>361</v>
      </c>
      <c r="K94" t="s">
        <v>33</v>
      </c>
      <c r="L94" t="s">
        <v>43</v>
      </c>
      <c r="M94" t="s">
        <v>33</v>
      </c>
      <c r="N94" t="s">
        <v>43</v>
      </c>
      <c r="O94" t="s">
        <v>33</v>
      </c>
      <c r="P94" t="s">
        <v>43</v>
      </c>
      <c r="Q94" t="s">
        <v>33</v>
      </c>
      <c r="R94" t="s">
        <v>43</v>
      </c>
      <c r="T94" t="s">
        <v>43</v>
      </c>
      <c r="U94" t="str">
        <f t="shared" si="8"/>
        <v/>
      </c>
      <c r="V94" t="str">
        <f t="shared" si="9"/>
        <v/>
      </c>
    </row>
    <row r="95" spans="1:22" x14ac:dyDescent="0.2">
      <c r="A95" t="s">
        <v>362</v>
      </c>
      <c r="B95" t="s">
        <v>357</v>
      </c>
      <c r="C95" t="s">
        <v>363</v>
      </c>
      <c r="D95" t="s">
        <v>364</v>
      </c>
      <c r="E95" s="15"/>
      <c r="F95" t="s">
        <v>323</v>
      </c>
      <c r="G95" t="s">
        <v>30</v>
      </c>
      <c r="H95" t="s">
        <v>31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T95" t="s">
        <v>43</v>
      </c>
      <c r="U95" t="str">
        <f t="shared" si="8"/>
        <v/>
      </c>
      <c r="V95" t="str">
        <f t="shared" si="9"/>
        <v/>
      </c>
    </row>
    <row r="96" spans="1:22" x14ac:dyDescent="0.2">
      <c r="A96" t="s">
        <v>365</v>
      </c>
      <c r="B96" t="s">
        <v>364</v>
      </c>
      <c r="C96" t="s">
        <v>366</v>
      </c>
      <c r="D96" t="s">
        <v>367</v>
      </c>
      <c r="E96" s="15" t="s">
        <v>368</v>
      </c>
      <c r="F96" t="s">
        <v>323</v>
      </c>
      <c r="G96" t="s">
        <v>30</v>
      </c>
      <c r="H96" t="s">
        <v>31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T96" t="s">
        <v>43</v>
      </c>
      <c r="U96" t="str">
        <f t="shared" si="8"/>
        <v/>
      </c>
      <c r="V96" t="str">
        <f t="shared" si="9"/>
        <v/>
      </c>
    </row>
    <row r="97" spans="1:22" x14ac:dyDescent="0.2">
      <c r="A97" t="s">
        <v>369</v>
      </c>
      <c r="B97" t="s">
        <v>364</v>
      </c>
      <c r="C97" t="s">
        <v>370</v>
      </c>
      <c r="D97" t="s">
        <v>225</v>
      </c>
      <c r="E97" s="15"/>
      <c r="F97" t="s">
        <v>323</v>
      </c>
      <c r="G97" t="s">
        <v>30</v>
      </c>
      <c r="H97" t="s">
        <v>31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T97" t="s">
        <v>43</v>
      </c>
      <c r="U97" t="str">
        <f t="shared" si="8"/>
        <v/>
      </c>
      <c r="V97" t="str">
        <f t="shared" si="9"/>
        <v/>
      </c>
    </row>
    <row r="98" spans="1:22" x14ac:dyDescent="0.2">
      <c r="A98" t="s">
        <v>371</v>
      </c>
      <c r="B98" t="s">
        <v>225</v>
      </c>
      <c r="C98" t="s">
        <v>228</v>
      </c>
      <c r="D98" t="s">
        <v>229</v>
      </c>
      <c r="E98" s="15" t="s">
        <v>372</v>
      </c>
      <c r="F98" t="s">
        <v>323</v>
      </c>
      <c r="G98" t="s">
        <v>30</v>
      </c>
      <c r="H98" t="s">
        <v>31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T98" t="s">
        <v>43</v>
      </c>
      <c r="U98" t="str">
        <f t="shared" si="8"/>
        <v/>
      </c>
      <c r="V98" t="str">
        <f t="shared" si="9"/>
        <v/>
      </c>
    </row>
    <row r="99" spans="1:22" x14ac:dyDescent="0.2">
      <c r="A99" t="s">
        <v>373</v>
      </c>
      <c r="B99" t="s">
        <v>225</v>
      </c>
      <c r="C99" t="s">
        <v>233</v>
      </c>
      <c r="D99" t="s">
        <v>234</v>
      </c>
      <c r="E99" s="15" t="s">
        <v>374</v>
      </c>
      <c r="F99" t="s">
        <v>323</v>
      </c>
      <c r="G99" t="s">
        <v>30</v>
      </c>
      <c r="H99" t="s">
        <v>31</v>
      </c>
      <c r="J99" s="11"/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T99" t="s">
        <v>43</v>
      </c>
      <c r="U99" t="str">
        <f t="shared" si="8"/>
        <v/>
      </c>
      <c r="V99" t="str">
        <f t="shared" si="9"/>
        <v/>
      </c>
    </row>
    <row r="100" spans="1:22" x14ac:dyDescent="0.2">
      <c r="A100" t="s">
        <v>375</v>
      </c>
      <c r="B100" t="s">
        <v>364</v>
      </c>
      <c r="C100" t="s">
        <v>370</v>
      </c>
      <c r="D100" t="s">
        <v>225</v>
      </c>
      <c r="E100" s="15"/>
      <c r="F100" t="s">
        <v>38</v>
      </c>
      <c r="G100" t="s">
        <v>30</v>
      </c>
      <c r="H100" t="s">
        <v>31</v>
      </c>
      <c r="I100" t="s">
        <v>341</v>
      </c>
      <c r="K100" t="s">
        <v>33</v>
      </c>
      <c r="L100" t="s">
        <v>43</v>
      </c>
      <c r="M100" t="s">
        <v>33</v>
      </c>
      <c r="N100" t="s">
        <v>43</v>
      </c>
      <c r="O100" t="s">
        <v>33</v>
      </c>
      <c r="P100" t="s">
        <v>43</v>
      </c>
      <c r="Q100" t="s">
        <v>33</v>
      </c>
      <c r="R100" t="s">
        <v>43</v>
      </c>
      <c r="T100" t="s">
        <v>43</v>
      </c>
      <c r="U100" t="str">
        <f t="shared" si="8"/>
        <v/>
      </c>
      <c r="V100" t="str">
        <f t="shared" si="9"/>
        <v/>
      </c>
    </row>
    <row r="101" spans="1:22" x14ac:dyDescent="0.2">
      <c r="A101" t="s">
        <v>376</v>
      </c>
      <c r="B101" t="s">
        <v>225</v>
      </c>
      <c r="C101" t="s">
        <v>228</v>
      </c>
      <c r="D101" t="s">
        <v>229</v>
      </c>
      <c r="E101" s="15" t="s">
        <v>377</v>
      </c>
      <c r="F101" t="s">
        <v>323</v>
      </c>
      <c r="G101" t="s">
        <v>30</v>
      </c>
      <c r="H101" t="s">
        <v>31</v>
      </c>
      <c r="I101" t="str">
        <f>IF(J101&lt;&gt;"","UFDB","")</f>
        <v>UFDB</v>
      </c>
      <c r="J101" t="s">
        <v>378</v>
      </c>
      <c r="K101" t="s">
        <v>33</v>
      </c>
      <c r="L101" t="s">
        <v>43</v>
      </c>
      <c r="M101" t="s">
        <v>33</v>
      </c>
      <c r="N101" t="s">
        <v>43</v>
      </c>
      <c r="O101" t="s">
        <v>33</v>
      </c>
      <c r="P101" t="s">
        <v>43</v>
      </c>
      <c r="Q101" t="s">
        <v>33</v>
      </c>
      <c r="R101" t="s">
        <v>43</v>
      </c>
      <c r="T101" t="s">
        <v>43</v>
      </c>
      <c r="U101" t="str">
        <f t="shared" si="8"/>
        <v/>
      </c>
      <c r="V101" t="str">
        <f t="shared" si="9"/>
        <v/>
      </c>
    </row>
    <row r="102" spans="1:22" x14ac:dyDescent="0.2">
      <c r="A102" t="s">
        <v>379</v>
      </c>
      <c r="B102" t="s">
        <v>225</v>
      </c>
      <c r="C102" t="s">
        <v>233</v>
      </c>
      <c r="D102" t="s">
        <v>234</v>
      </c>
      <c r="E102" s="15" t="s">
        <v>380</v>
      </c>
      <c r="F102" t="s">
        <v>323</v>
      </c>
      <c r="G102" t="s">
        <v>30</v>
      </c>
      <c r="H102" t="s">
        <v>31</v>
      </c>
      <c r="I102" t="s">
        <v>347</v>
      </c>
      <c r="K102" t="s">
        <v>33</v>
      </c>
      <c r="L102" t="s">
        <v>43</v>
      </c>
      <c r="M102" t="s">
        <v>33</v>
      </c>
      <c r="N102" t="s">
        <v>43</v>
      </c>
      <c r="O102" t="s">
        <v>33</v>
      </c>
      <c r="P102" t="s">
        <v>43</v>
      </c>
      <c r="Q102" t="s">
        <v>33</v>
      </c>
      <c r="R102" t="s">
        <v>43</v>
      </c>
      <c r="T102" t="s">
        <v>43</v>
      </c>
      <c r="U102" t="str">
        <f t="shared" si="8"/>
        <v/>
      </c>
      <c r="V102" t="str">
        <f t="shared" si="9"/>
        <v/>
      </c>
    </row>
    <row r="103" spans="1:22" x14ac:dyDescent="0.2">
      <c r="A103" t="s">
        <v>381</v>
      </c>
      <c r="B103" t="s">
        <v>364</v>
      </c>
      <c r="C103" t="s">
        <v>382</v>
      </c>
      <c r="D103" t="s">
        <v>143</v>
      </c>
      <c r="E103" s="15" t="s">
        <v>383</v>
      </c>
      <c r="F103" t="s">
        <v>323</v>
      </c>
      <c r="G103" t="s">
        <v>30</v>
      </c>
      <c r="H103" t="s">
        <v>31</v>
      </c>
      <c r="I103" t="s">
        <v>351</v>
      </c>
      <c r="K103" t="s">
        <v>33</v>
      </c>
      <c r="L103" t="s">
        <v>43</v>
      </c>
      <c r="M103" t="s">
        <v>33</v>
      </c>
      <c r="N103" t="s">
        <v>43</v>
      </c>
      <c r="O103" t="s">
        <v>33</v>
      </c>
      <c r="P103" t="s">
        <v>43</v>
      </c>
      <c r="Q103" t="s">
        <v>33</v>
      </c>
      <c r="R103" t="s">
        <v>43</v>
      </c>
      <c r="T103" t="s">
        <v>43</v>
      </c>
      <c r="U103" t="str">
        <f t="shared" si="8"/>
        <v/>
      </c>
      <c r="V103" t="str">
        <f t="shared" si="9"/>
        <v/>
      </c>
    </row>
    <row r="104" spans="1:22" x14ac:dyDescent="0.2">
      <c r="A104" t="s">
        <v>384</v>
      </c>
      <c r="B104" t="s">
        <v>357</v>
      </c>
      <c r="C104" t="s">
        <v>385</v>
      </c>
      <c r="D104" t="s">
        <v>367</v>
      </c>
      <c r="E104" s="15" t="s">
        <v>386</v>
      </c>
      <c r="G104" t="s">
        <v>30</v>
      </c>
      <c r="H104" t="s">
        <v>31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T104" t="s">
        <v>43</v>
      </c>
      <c r="U104" t="str">
        <f t="shared" si="8"/>
        <v/>
      </c>
      <c r="V104" t="str">
        <f t="shared" si="9"/>
        <v/>
      </c>
    </row>
    <row r="105" spans="1:22" x14ac:dyDescent="0.2">
      <c r="A105" t="s">
        <v>387</v>
      </c>
      <c r="B105" t="s">
        <v>357</v>
      </c>
      <c r="C105" t="s">
        <v>388</v>
      </c>
      <c r="D105" t="s">
        <v>367</v>
      </c>
      <c r="E105" s="15" t="s">
        <v>389</v>
      </c>
      <c r="G105" t="s">
        <v>139</v>
      </c>
      <c r="H105" t="s">
        <v>31</v>
      </c>
      <c r="I105" t="str">
        <f>IF(J105&lt;&gt;"","UFDB","")</f>
        <v>UFDB</v>
      </c>
      <c r="J105" t="s">
        <v>390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33</v>
      </c>
      <c r="R105" t="s">
        <v>43</v>
      </c>
      <c r="T105" t="s">
        <v>43</v>
      </c>
      <c r="U105" t="str">
        <f t="shared" si="8"/>
        <v/>
      </c>
      <c r="V105" t="str">
        <f t="shared" si="9"/>
        <v/>
      </c>
    </row>
    <row r="106" spans="1:22" x14ac:dyDescent="0.2">
      <c r="A106" t="s">
        <v>391</v>
      </c>
      <c r="B106" t="s">
        <v>357</v>
      </c>
      <c r="C106" t="s">
        <v>392</v>
      </c>
      <c r="D106" t="s">
        <v>367</v>
      </c>
      <c r="E106" s="15" t="s">
        <v>393</v>
      </c>
      <c r="F106" t="s">
        <v>29</v>
      </c>
      <c r="G106" t="s">
        <v>30</v>
      </c>
      <c r="H106" t="s">
        <v>31</v>
      </c>
      <c r="I106" t="str">
        <f>IF(J106&lt;&gt;"","UFDB","")</f>
        <v>UFDB</v>
      </c>
      <c r="J106" t="s">
        <v>394</v>
      </c>
      <c r="K106" t="s">
        <v>33</v>
      </c>
      <c r="L106" t="s">
        <v>43</v>
      </c>
      <c r="M106" t="s">
        <v>33</v>
      </c>
      <c r="N106" t="s">
        <v>43</v>
      </c>
      <c r="O106" t="s">
        <v>33</v>
      </c>
      <c r="P106" t="s">
        <v>43</v>
      </c>
      <c r="Q106" t="s">
        <v>33</v>
      </c>
      <c r="R106" t="s">
        <v>43</v>
      </c>
      <c r="T106" t="s">
        <v>43</v>
      </c>
      <c r="U106" t="str">
        <f t="shared" si="8"/>
        <v/>
      </c>
      <c r="V106" t="str">
        <f t="shared" si="9"/>
        <v/>
      </c>
    </row>
    <row r="107" spans="1:22" x14ac:dyDescent="0.2">
      <c r="A107" t="s">
        <v>395</v>
      </c>
      <c r="B107" t="s">
        <v>357</v>
      </c>
      <c r="C107" t="s">
        <v>396</v>
      </c>
      <c r="D107" t="s">
        <v>36</v>
      </c>
      <c r="E107" s="15" t="s">
        <v>397</v>
      </c>
      <c r="F107" t="s">
        <v>323</v>
      </c>
      <c r="G107" t="s">
        <v>30</v>
      </c>
      <c r="H107" t="s">
        <v>31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T107" t="s">
        <v>43</v>
      </c>
      <c r="U107" t="str">
        <f t="shared" si="8"/>
        <v/>
      </c>
      <c r="V107" t="str">
        <f t="shared" si="9"/>
        <v/>
      </c>
    </row>
    <row r="108" spans="1:22" x14ac:dyDescent="0.2">
      <c r="A108" t="s">
        <v>398</v>
      </c>
      <c r="B108" t="s">
        <v>357</v>
      </c>
      <c r="C108" t="s">
        <v>399</v>
      </c>
      <c r="D108" t="s">
        <v>143</v>
      </c>
      <c r="E108" s="15" t="s">
        <v>400</v>
      </c>
      <c r="F108" t="s">
        <v>323</v>
      </c>
      <c r="G108" t="s">
        <v>30</v>
      </c>
      <c r="H108" t="s">
        <v>31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T108" t="s">
        <v>43</v>
      </c>
      <c r="U108" t="str">
        <f t="shared" si="8"/>
        <v/>
      </c>
      <c r="V108" t="str">
        <f t="shared" si="9"/>
        <v/>
      </c>
    </row>
    <row r="109" spans="1:22" x14ac:dyDescent="0.2">
      <c r="A109" t="s">
        <v>401</v>
      </c>
      <c r="B109" t="s">
        <v>354</v>
      </c>
      <c r="C109" t="s">
        <v>402</v>
      </c>
      <c r="D109" t="s">
        <v>357</v>
      </c>
      <c r="E109" s="15"/>
      <c r="F109" t="s">
        <v>323</v>
      </c>
      <c r="G109" t="s">
        <v>30</v>
      </c>
      <c r="H109" t="s">
        <v>31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43</v>
      </c>
      <c r="T109" t="s">
        <v>43</v>
      </c>
      <c r="U109" t="str">
        <f t="shared" si="8"/>
        <v/>
      </c>
      <c r="V109" t="str">
        <f t="shared" si="9"/>
        <v/>
      </c>
    </row>
    <row r="110" spans="1:22" x14ac:dyDescent="0.2">
      <c r="A110" t="s">
        <v>403</v>
      </c>
      <c r="B110" t="s">
        <v>357</v>
      </c>
      <c r="C110" t="s">
        <v>26</v>
      </c>
      <c r="D110" t="s">
        <v>27</v>
      </c>
      <c r="E110" s="15" t="s">
        <v>360</v>
      </c>
      <c r="F110" t="s">
        <v>323</v>
      </c>
      <c r="G110" t="s">
        <v>30</v>
      </c>
      <c r="H110" t="s">
        <v>31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T110" t="s">
        <v>43</v>
      </c>
      <c r="U110" t="str">
        <f t="shared" si="8"/>
        <v/>
      </c>
      <c r="V110" t="str">
        <f t="shared" si="9"/>
        <v/>
      </c>
    </row>
    <row r="111" spans="1:22" x14ac:dyDescent="0.2">
      <c r="A111" t="s">
        <v>404</v>
      </c>
      <c r="B111" t="s">
        <v>357</v>
      </c>
      <c r="C111" t="s">
        <v>363</v>
      </c>
      <c r="D111" t="s">
        <v>364</v>
      </c>
      <c r="E111" s="15"/>
      <c r="F111" t="s">
        <v>323</v>
      </c>
      <c r="G111" t="s">
        <v>30</v>
      </c>
      <c r="H111" t="s">
        <v>31</v>
      </c>
      <c r="J111" s="11"/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T111" t="s">
        <v>43</v>
      </c>
      <c r="U111" t="str">
        <f t="shared" si="8"/>
        <v/>
      </c>
      <c r="V111" t="str">
        <f t="shared" si="9"/>
        <v/>
      </c>
    </row>
    <row r="112" spans="1:22" x14ac:dyDescent="0.2">
      <c r="A112" t="s">
        <v>405</v>
      </c>
      <c r="B112" t="s">
        <v>364</v>
      </c>
      <c r="C112" t="s">
        <v>366</v>
      </c>
      <c r="D112" t="s">
        <v>367</v>
      </c>
      <c r="E112" s="15" t="s">
        <v>368</v>
      </c>
      <c r="F112" t="s">
        <v>38</v>
      </c>
      <c r="G112" t="s">
        <v>30</v>
      </c>
      <c r="H112" t="s">
        <v>31</v>
      </c>
      <c r="I112" t="s">
        <v>341</v>
      </c>
      <c r="K112" t="s">
        <v>33</v>
      </c>
      <c r="L112" t="s">
        <v>43</v>
      </c>
      <c r="M112" t="s">
        <v>33</v>
      </c>
      <c r="N112" t="s">
        <v>43</v>
      </c>
      <c r="O112" t="s">
        <v>33</v>
      </c>
      <c r="P112" t="s">
        <v>43</v>
      </c>
      <c r="Q112" t="s">
        <v>33</v>
      </c>
      <c r="R112" t="s">
        <v>43</v>
      </c>
      <c r="T112" t="s">
        <v>43</v>
      </c>
      <c r="U112" t="str">
        <f t="shared" si="8"/>
        <v/>
      </c>
      <c r="V112" t="str">
        <f t="shared" si="9"/>
        <v/>
      </c>
    </row>
    <row r="113" spans="1:22" x14ac:dyDescent="0.2">
      <c r="A113" t="s">
        <v>406</v>
      </c>
      <c r="B113" t="s">
        <v>364</v>
      </c>
      <c r="C113" t="s">
        <v>370</v>
      </c>
      <c r="D113" t="s">
        <v>225</v>
      </c>
      <c r="E113" s="15"/>
      <c r="F113" t="s">
        <v>323</v>
      </c>
      <c r="G113" t="s">
        <v>30</v>
      </c>
      <c r="H113" t="s">
        <v>31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T113" t="s">
        <v>43</v>
      </c>
      <c r="U113" t="str">
        <f t="shared" si="8"/>
        <v/>
      </c>
      <c r="V113" t="str">
        <f t="shared" si="9"/>
        <v/>
      </c>
    </row>
    <row r="114" spans="1:22" x14ac:dyDescent="0.2">
      <c r="A114" t="s">
        <v>407</v>
      </c>
      <c r="B114" t="s">
        <v>225</v>
      </c>
      <c r="C114" t="s">
        <v>228</v>
      </c>
      <c r="D114" t="s">
        <v>229</v>
      </c>
      <c r="E114" s="15" t="s">
        <v>408</v>
      </c>
      <c r="F114" t="s">
        <v>323</v>
      </c>
      <c r="G114" t="s">
        <v>30</v>
      </c>
      <c r="H114" t="s">
        <v>31</v>
      </c>
      <c r="I114" t="s">
        <v>347</v>
      </c>
      <c r="K114" t="s">
        <v>33</v>
      </c>
      <c r="L114" t="s">
        <v>43</v>
      </c>
      <c r="M114" t="s">
        <v>33</v>
      </c>
      <c r="N114" t="s">
        <v>43</v>
      </c>
      <c r="O114" t="s">
        <v>33</v>
      </c>
      <c r="P114" t="s">
        <v>43</v>
      </c>
      <c r="Q114" t="s">
        <v>33</v>
      </c>
      <c r="R114" t="s">
        <v>43</v>
      </c>
      <c r="T114" t="s">
        <v>43</v>
      </c>
      <c r="U114" t="str">
        <f t="shared" si="8"/>
        <v/>
      </c>
      <c r="V114" t="str">
        <f t="shared" si="9"/>
        <v/>
      </c>
    </row>
    <row r="115" spans="1:22" x14ac:dyDescent="0.2">
      <c r="A115" t="s">
        <v>409</v>
      </c>
      <c r="B115" t="s">
        <v>225</v>
      </c>
      <c r="C115" t="s">
        <v>233</v>
      </c>
      <c r="D115" t="s">
        <v>234</v>
      </c>
      <c r="E115" s="15" t="s">
        <v>374</v>
      </c>
      <c r="F115" t="s">
        <v>323</v>
      </c>
      <c r="G115" t="s">
        <v>30</v>
      </c>
      <c r="H115" t="s">
        <v>31</v>
      </c>
      <c r="I115" t="s">
        <v>351</v>
      </c>
      <c r="K115" t="s">
        <v>33</v>
      </c>
      <c r="L115" t="s">
        <v>43</v>
      </c>
      <c r="M115" t="s">
        <v>33</v>
      </c>
      <c r="N115" t="s">
        <v>43</v>
      </c>
      <c r="O115" t="s">
        <v>33</v>
      </c>
      <c r="P115" t="s">
        <v>43</v>
      </c>
      <c r="Q115" t="s">
        <v>33</v>
      </c>
      <c r="R115" t="s">
        <v>43</v>
      </c>
      <c r="T115" t="s">
        <v>43</v>
      </c>
      <c r="U115" t="str">
        <f t="shared" si="8"/>
        <v/>
      </c>
      <c r="V115" t="str">
        <f t="shared" si="9"/>
        <v/>
      </c>
    </row>
    <row r="116" spans="1:22" x14ac:dyDescent="0.2">
      <c r="A116" t="s">
        <v>410</v>
      </c>
      <c r="B116" t="s">
        <v>364</v>
      </c>
      <c r="C116" t="s">
        <v>370</v>
      </c>
      <c r="D116" t="s">
        <v>225</v>
      </c>
      <c r="E116" s="15"/>
      <c r="G116" t="s">
        <v>30</v>
      </c>
      <c r="H116" t="s">
        <v>31</v>
      </c>
      <c r="I116" t="str">
        <f>IF(J116&lt;&gt;"","UFDB","")</f>
        <v>UFDB</v>
      </c>
      <c r="J116" t="s">
        <v>411</v>
      </c>
      <c r="K116" t="s">
        <v>33</v>
      </c>
      <c r="L116" t="s">
        <v>43</v>
      </c>
      <c r="M116" t="s">
        <v>33</v>
      </c>
      <c r="N116" t="s">
        <v>43</v>
      </c>
      <c r="O116" t="s">
        <v>33</v>
      </c>
      <c r="P116" t="s">
        <v>43</v>
      </c>
      <c r="Q116" t="s">
        <v>33</v>
      </c>
      <c r="R116" t="s">
        <v>43</v>
      </c>
      <c r="T116" t="s">
        <v>43</v>
      </c>
      <c r="U116" t="str">
        <f t="shared" si="8"/>
        <v/>
      </c>
      <c r="V116" t="str">
        <f t="shared" si="9"/>
        <v/>
      </c>
    </row>
    <row r="117" spans="1:22" x14ac:dyDescent="0.2">
      <c r="A117" t="s">
        <v>412</v>
      </c>
      <c r="B117" t="s">
        <v>225</v>
      </c>
      <c r="C117" t="s">
        <v>228</v>
      </c>
      <c r="D117" t="s">
        <v>229</v>
      </c>
      <c r="E117" s="15" t="s">
        <v>413</v>
      </c>
      <c r="G117" t="s">
        <v>139</v>
      </c>
      <c r="H117" t="s">
        <v>31</v>
      </c>
      <c r="I117" t="str">
        <f>IF(J117&lt;&gt;"","UFDB","")</f>
        <v>UFDB</v>
      </c>
      <c r="J117" t="s">
        <v>414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33</v>
      </c>
      <c r="R117" t="s">
        <v>43</v>
      </c>
      <c r="T117" t="s">
        <v>43</v>
      </c>
      <c r="U117" t="str">
        <f t="shared" si="8"/>
        <v/>
      </c>
      <c r="V117" t="str">
        <f t="shared" si="9"/>
        <v/>
      </c>
    </row>
    <row r="118" spans="1:22" x14ac:dyDescent="0.2">
      <c r="A118" t="s">
        <v>415</v>
      </c>
      <c r="B118" t="s">
        <v>225</v>
      </c>
      <c r="C118" t="s">
        <v>233</v>
      </c>
      <c r="D118" t="s">
        <v>234</v>
      </c>
      <c r="E118" s="15" t="s">
        <v>380</v>
      </c>
      <c r="F118" t="s">
        <v>29</v>
      </c>
      <c r="G118" t="s">
        <v>30</v>
      </c>
      <c r="H118" t="s">
        <v>31</v>
      </c>
      <c r="I118" t="str">
        <f>IF(J118&lt;&gt;"","UFDB","")</f>
        <v>UFDB</v>
      </c>
      <c r="J118" t="s">
        <v>416</v>
      </c>
      <c r="K118" t="s">
        <v>33</v>
      </c>
      <c r="L118" t="s">
        <v>43</v>
      </c>
      <c r="M118" t="s">
        <v>33</v>
      </c>
      <c r="N118" t="s">
        <v>43</v>
      </c>
      <c r="O118" t="s">
        <v>33</v>
      </c>
      <c r="P118" t="s">
        <v>43</v>
      </c>
      <c r="Q118" t="s">
        <v>33</v>
      </c>
      <c r="R118" t="s">
        <v>43</v>
      </c>
      <c r="T118" t="s">
        <v>43</v>
      </c>
      <c r="U118" t="str">
        <f t="shared" si="8"/>
        <v/>
      </c>
      <c r="V118" t="str">
        <f t="shared" si="9"/>
        <v/>
      </c>
    </row>
    <row r="119" spans="1:22" x14ac:dyDescent="0.2">
      <c r="A119" t="s">
        <v>417</v>
      </c>
      <c r="B119" t="s">
        <v>364</v>
      </c>
      <c r="C119" t="s">
        <v>382</v>
      </c>
      <c r="D119" t="s">
        <v>143</v>
      </c>
      <c r="E119" s="15" t="s">
        <v>418</v>
      </c>
      <c r="F119" t="s">
        <v>323</v>
      </c>
      <c r="G119" t="s">
        <v>30</v>
      </c>
      <c r="H119" t="s">
        <v>31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T119" t="s">
        <v>43</v>
      </c>
      <c r="U119" t="str">
        <f t="shared" si="8"/>
        <v/>
      </c>
      <c r="V119" t="str">
        <f t="shared" si="9"/>
        <v/>
      </c>
    </row>
    <row r="120" spans="1:22" x14ac:dyDescent="0.2">
      <c r="A120" t="s">
        <v>419</v>
      </c>
      <c r="B120" t="s">
        <v>357</v>
      </c>
      <c r="C120" t="s">
        <v>385</v>
      </c>
      <c r="D120" t="s">
        <v>367</v>
      </c>
      <c r="E120" s="15" t="s">
        <v>386</v>
      </c>
      <c r="F120" t="s">
        <v>323</v>
      </c>
      <c r="G120" t="s">
        <v>30</v>
      </c>
      <c r="H120" t="s">
        <v>31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T120" t="s">
        <v>43</v>
      </c>
      <c r="U120" t="str">
        <f t="shared" si="8"/>
        <v/>
      </c>
      <c r="V120" t="str">
        <f t="shared" si="9"/>
        <v/>
      </c>
    </row>
    <row r="121" spans="1:22" x14ac:dyDescent="0.2">
      <c r="A121" t="s">
        <v>420</v>
      </c>
      <c r="B121" t="s">
        <v>357</v>
      </c>
      <c r="C121" t="s">
        <v>388</v>
      </c>
      <c r="D121" t="s">
        <v>367</v>
      </c>
      <c r="E121" s="15" t="s">
        <v>389</v>
      </c>
      <c r="F121" t="s">
        <v>323</v>
      </c>
      <c r="G121" t="s">
        <v>30</v>
      </c>
      <c r="H121" t="s">
        <v>31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T121" t="s">
        <v>43</v>
      </c>
      <c r="U121" t="str">
        <f t="shared" si="8"/>
        <v/>
      </c>
      <c r="V121" t="str">
        <f t="shared" si="9"/>
        <v/>
      </c>
    </row>
    <row r="122" spans="1:22" x14ac:dyDescent="0.2">
      <c r="A122" t="s">
        <v>421</v>
      </c>
      <c r="B122" t="s">
        <v>357</v>
      </c>
      <c r="C122" t="s">
        <v>392</v>
      </c>
      <c r="D122" t="s">
        <v>367</v>
      </c>
      <c r="E122" s="15" t="s">
        <v>393</v>
      </c>
      <c r="F122" t="s">
        <v>323</v>
      </c>
      <c r="G122" t="s">
        <v>30</v>
      </c>
      <c r="H122" t="s">
        <v>31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T122" t="s">
        <v>43</v>
      </c>
      <c r="U122" t="str">
        <f t="shared" si="8"/>
        <v/>
      </c>
      <c r="V122" t="str">
        <f t="shared" si="9"/>
        <v/>
      </c>
    </row>
    <row r="123" spans="1:22" x14ac:dyDescent="0.2">
      <c r="A123" t="s">
        <v>422</v>
      </c>
      <c r="B123" t="s">
        <v>357</v>
      </c>
      <c r="C123" t="s">
        <v>396</v>
      </c>
      <c r="D123" t="s">
        <v>36</v>
      </c>
      <c r="E123" s="15" t="s">
        <v>397</v>
      </c>
      <c r="F123" t="s">
        <v>323</v>
      </c>
      <c r="G123" t="s">
        <v>30</v>
      </c>
      <c r="H123" t="s">
        <v>31</v>
      </c>
      <c r="J123" s="11"/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T123" t="s">
        <v>43</v>
      </c>
      <c r="U123" t="str">
        <f t="shared" si="8"/>
        <v/>
      </c>
      <c r="V123" t="str">
        <f t="shared" si="9"/>
        <v/>
      </c>
    </row>
    <row r="124" spans="1:22" x14ac:dyDescent="0.2">
      <c r="A124" t="s">
        <v>423</v>
      </c>
      <c r="B124" t="s">
        <v>357</v>
      </c>
      <c r="C124" t="s">
        <v>399</v>
      </c>
      <c r="D124" t="s">
        <v>143</v>
      </c>
      <c r="E124" s="15" t="s">
        <v>400</v>
      </c>
      <c r="F124" t="s">
        <v>38</v>
      </c>
      <c r="G124" t="s">
        <v>30</v>
      </c>
      <c r="H124" t="s">
        <v>31</v>
      </c>
      <c r="I124" t="s">
        <v>341</v>
      </c>
      <c r="K124" t="s">
        <v>33</v>
      </c>
      <c r="L124" t="s">
        <v>43</v>
      </c>
      <c r="M124" t="s">
        <v>33</v>
      </c>
      <c r="N124" t="s">
        <v>43</v>
      </c>
      <c r="O124" t="s">
        <v>33</v>
      </c>
      <c r="P124" t="s">
        <v>43</v>
      </c>
      <c r="Q124" t="s">
        <v>33</v>
      </c>
      <c r="R124" t="s">
        <v>43</v>
      </c>
      <c r="T124" t="s">
        <v>43</v>
      </c>
      <c r="U124" t="str">
        <f t="shared" si="8"/>
        <v/>
      </c>
      <c r="V124" t="str">
        <f t="shared" si="9"/>
        <v/>
      </c>
    </row>
    <row r="125" spans="1:22" x14ac:dyDescent="0.2">
      <c r="A125" t="s">
        <v>424</v>
      </c>
      <c r="B125" t="s">
        <v>354</v>
      </c>
      <c r="C125" t="s">
        <v>425</v>
      </c>
      <c r="D125" t="s">
        <v>357</v>
      </c>
      <c r="E125" s="15"/>
      <c r="F125" t="s">
        <v>323</v>
      </c>
      <c r="G125" t="s">
        <v>30</v>
      </c>
      <c r="H125" t="s">
        <v>31</v>
      </c>
      <c r="I125" t="str">
        <f>IF(J125&lt;&gt;"","UFDB","")</f>
        <v/>
      </c>
      <c r="K125" t="s">
        <v>43</v>
      </c>
      <c r="L125" t="s">
        <v>43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T125" t="s">
        <v>43</v>
      </c>
      <c r="U125" t="str">
        <f t="shared" si="8"/>
        <v/>
      </c>
      <c r="V125" t="str">
        <f t="shared" si="9"/>
        <v/>
      </c>
    </row>
    <row r="126" spans="1:22" x14ac:dyDescent="0.2">
      <c r="A126" t="s">
        <v>426</v>
      </c>
      <c r="B126" t="s">
        <v>357</v>
      </c>
      <c r="C126" t="s">
        <v>26</v>
      </c>
      <c r="D126" t="s">
        <v>27</v>
      </c>
      <c r="E126" s="15" t="s">
        <v>360</v>
      </c>
      <c r="F126" t="s">
        <v>323</v>
      </c>
      <c r="G126" t="s">
        <v>30</v>
      </c>
      <c r="H126" t="s">
        <v>31</v>
      </c>
      <c r="I126" t="s">
        <v>347</v>
      </c>
      <c r="K126" t="s">
        <v>33</v>
      </c>
      <c r="L126" t="s">
        <v>43</v>
      </c>
      <c r="M126" t="s">
        <v>33</v>
      </c>
      <c r="N126" t="s">
        <v>43</v>
      </c>
      <c r="O126" t="s">
        <v>33</v>
      </c>
      <c r="P126" t="s">
        <v>43</v>
      </c>
      <c r="Q126" t="s">
        <v>33</v>
      </c>
      <c r="R126" t="s">
        <v>43</v>
      </c>
      <c r="T126" t="s">
        <v>43</v>
      </c>
      <c r="U126" t="str">
        <f t="shared" si="8"/>
        <v/>
      </c>
      <c r="V126" t="str">
        <f t="shared" si="9"/>
        <v/>
      </c>
    </row>
    <row r="127" spans="1:22" x14ac:dyDescent="0.2">
      <c r="A127" t="s">
        <v>427</v>
      </c>
      <c r="B127" t="s">
        <v>357</v>
      </c>
      <c r="C127" t="s">
        <v>363</v>
      </c>
      <c r="D127" t="s">
        <v>364</v>
      </c>
      <c r="E127" s="15"/>
      <c r="F127" t="s">
        <v>323</v>
      </c>
      <c r="G127" t="s">
        <v>30</v>
      </c>
      <c r="H127" t="s">
        <v>31</v>
      </c>
      <c r="I127" t="s">
        <v>351</v>
      </c>
      <c r="K127" t="s">
        <v>33</v>
      </c>
      <c r="L127" t="s">
        <v>43</v>
      </c>
      <c r="M127" t="s">
        <v>33</v>
      </c>
      <c r="N127" t="s">
        <v>43</v>
      </c>
      <c r="O127" t="s">
        <v>33</v>
      </c>
      <c r="P127" t="s">
        <v>43</v>
      </c>
      <c r="Q127" t="s">
        <v>33</v>
      </c>
      <c r="R127" t="s">
        <v>43</v>
      </c>
      <c r="T127" t="s">
        <v>43</v>
      </c>
      <c r="U127" t="str">
        <f t="shared" si="8"/>
        <v/>
      </c>
      <c r="V127" t="str">
        <f t="shared" si="9"/>
        <v/>
      </c>
    </row>
    <row r="128" spans="1:22" x14ac:dyDescent="0.2">
      <c r="A128" t="s">
        <v>428</v>
      </c>
      <c r="B128" t="s">
        <v>364</v>
      </c>
      <c r="C128" t="s">
        <v>366</v>
      </c>
      <c r="D128" t="s">
        <v>367</v>
      </c>
      <c r="E128" s="15" t="s">
        <v>429</v>
      </c>
      <c r="G128" t="s">
        <v>30</v>
      </c>
      <c r="H128" t="s">
        <v>31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T128" t="s">
        <v>43</v>
      </c>
      <c r="U128" t="str">
        <f t="shared" si="8"/>
        <v/>
      </c>
      <c r="V128" t="str">
        <f t="shared" si="9"/>
        <v/>
      </c>
    </row>
    <row r="129" spans="1:22" x14ac:dyDescent="0.2">
      <c r="A129" t="s">
        <v>430</v>
      </c>
      <c r="B129" t="s">
        <v>364</v>
      </c>
      <c r="C129" t="s">
        <v>370</v>
      </c>
      <c r="D129" t="s">
        <v>225</v>
      </c>
      <c r="E129" s="15"/>
      <c r="G129" t="s">
        <v>139</v>
      </c>
      <c r="H129" t="s">
        <v>31</v>
      </c>
      <c r="I129" t="str">
        <f t="shared" ref="I129:I135" si="10">IF(J129&lt;&gt;"","UFDB","")</f>
        <v>UFDB</v>
      </c>
      <c r="J129" t="s">
        <v>431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33</v>
      </c>
      <c r="R129" t="s">
        <v>43</v>
      </c>
      <c r="T129" t="s">
        <v>43</v>
      </c>
      <c r="U129" t="str">
        <f t="shared" si="8"/>
        <v/>
      </c>
      <c r="V129" t="str">
        <f t="shared" si="9"/>
        <v/>
      </c>
    </row>
    <row r="130" spans="1:22" x14ac:dyDescent="0.2">
      <c r="A130" t="s">
        <v>432</v>
      </c>
      <c r="B130" t="s">
        <v>225</v>
      </c>
      <c r="C130" t="s">
        <v>228</v>
      </c>
      <c r="D130" t="s">
        <v>229</v>
      </c>
      <c r="E130" s="15" t="s">
        <v>372</v>
      </c>
      <c r="F130" t="s">
        <v>29</v>
      </c>
      <c r="G130" t="s">
        <v>30</v>
      </c>
      <c r="H130" t="s">
        <v>31</v>
      </c>
      <c r="I130" t="str">
        <f t="shared" si="10"/>
        <v>UFDB</v>
      </c>
      <c r="J130" t="s">
        <v>320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T130" t="s">
        <v>43</v>
      </c>
      <c r="U130" t="str">
        <f t="shared" si="8"/>
        <v/>
      </c>
      <c r="V130" t="str">
        <f t="shared" si="9"/>
        <v>Ja</v>
      </c>
    </row>
    <row r="131" spans="1:22" x14ac:dyDescent="0.2">
      <c r="A131" t="s">
        <v>433</v>
      </c>
      <c r="B131" t="s">
        <v>225</v>
      </c>
      <c r="C131" t="s">
        <v>233</v>
      </c>
      <c r="D131" t="s">
        <v>234</v>
      </c>
      <c r="E131" s="15" t="s">
        <v>374</v>
      </c>
      <c r="F131" t="s">
        <v>323</v>
      </c>
      <c r="G131" t="s">
        <v>30</v>
      </c>
      <c r="H131" t="s">
        <v>31</v>
      </c>
      <c r="I131" t="str">
        <f t="shared" si="10"/>
        <v>UFDB</v>
      </c>
      <c r="J131" t="s">
        <v>324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T131" t="s">
        <v>43</v>
      </c>
      <c r="U131" t="str">
        <f t="shared" si="8"/>
        <v/>
      </c>
      <c r="V131" t="str">
        <f t="shared" si="9"/>
        <v>Ja</v>
      </c>
    </row>
    <row r="132" spans="1:22" x14ac:dyDescent="0.2">
      <c r="A132" t="s">
        <v>434</v>
      </c>
      <c r="B132" t="s">
        <v>364</v>
      </c>
      <c r="C132" t="s">
        <v>370</v>
      </c>
      <c r="D132" t="s">
        <v>225</v>
      </c>
      <c r="E132" s="15"/>
      <c r="F132" t="s">
        <v>323</v>
      </c>
      <c r="G132" t="s">
        <v>30</v>
      </c>
      <c r="H132" t="s">
        <v>31</v>
      </c>
      <c r="I132" t="str">
        <f t="shared" si="10"/>
        <v>UFDB</v>
      </c>
      <c r="J132" t="s">
        <v>327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T132" t="s">
        <v>43</v>
      </c>
      <c r="U132" t="str">
        <f t="shared" si="8"/>
        <v/>
      </c>
      <c r="V132" t="str">
        <f t="shared" si="9"/>
        <v>Ja</v>
      </c>
    </row>
    <row r="133" spans="1:22" x14ac:dyDescent="0.2">
      <c r="A133" t="s">
        <v>435</v>
      </c>
      <c r="B133" t="s">
        <v>225</v>
      </c>
      <c r="C133" t="s">
        <v>228</v>
      </c>
      <c r="D133" t="s">
        <v>229</v>
      </c>
      <c r="E133" s="15" t="s">
        <v>436</v>
      </c>
      <c r="F133" t="s">
        <v>323</v>
      </c>
      <c r="G133" t="s">
        <v>30</v>
      </c>
      <c r="H133" t="s">
        <v>31</v>
      </c>
      <c r="I133" t="str">
        <f t="shared" si="10"/>
        <v>UFDB</v>
      </c>
      <c r="J133" t="s">
        <v>330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T133" t="s">
        <v>43</v>
      </c>
      <c r="U133" t="str">
        <f t="shared" si="8"/>
        <v/>
      </c>
      <c r="V133" t="str">
        <f t="shared" si="9"/>
        <v>Ja</v>
      </c>
    </row>
    <row r="134" spans="1:22" x14ac:dyDescent="0.2">
      <c r="A134" t="s">
        <v>437</v>
      </c>
      <c r="B134" t="s">
        <v>225</v>
      </c>
      <c r="C134" t="s">
        <v>233</v>
      </c>
      <c r="D134" t="s">
        <v>234</v>
      </c>
      <c r="E134" s="15" t="s">
        <v>380</v>
      </c>
      <c r="F134" t="s">
        <v>323</v>
      </c>
      <c r="G134" t="s">
        <v>30</v>
      </c>
      <c r="H134" t="s">
        <v>31</v>
      </c>
      <c r="I134" t="str">
        <f t="shared" si="10"/>
        <v>UFDB</v>
      </c>
      <c r="J134" t="s">
        <v>335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T134" t="s">
        <v>43</v>
      </c>
      <c r="U134" t="str">
        <f t="shared" si="8"/>
        <v/>
      </c>
      <c r="V134" t="str">
        <f t="shared" si="9"/>
        <v>Ja</v>
      </c>
    </row>
    <row r="135" spans="1:22" x14ac:dyDescent="0.2">
      <c r="A135" t="s">
        <v>438</v>
      </c>
      <c r="B135" t="s">
        <v>364</v>
      </c>
      <c r="C135" t="s">
        <v>382</v>
      </c>
      <c r="D135" t="s">
        <v>143</v>
      </c>
      <c r="E135" s="15" t="s">
        <v>383</v>
      </c>
      <c r="F135" t="s">
        <v>323</v>
      </c>
      <c r="G135" t="s">
        <v>30</v>
      </c>
      <c r="H135" t="s">
        <v>31</v>
      </c>
      <c r="I135" t="str">
        <f t="shared" si="10"/>
        <v>UFDB</v>
      </c>
      <c r="J135" t="s">
        <v>338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T135" t="s">
        <v>43</v>
      </c>
      <c r="U135" t="str">
        <f t="shared" si="8"/>
        <v/>
      </c>
      <c r="V135" t="str">
        <f t="shared" si="9"/>
        <v>Ja</v>
      </c>
    </row>
    <row r="136" spans="1:22" x14ac:dyDescent="0.2">
      <c r="A136" t="s">
        <v>439</v>
      </c>
      <c r="B136" t="s">
        <v>357</v>
      </c>
      <c r="C136" t="s">
        <v>385</v>
      </c>
      <c r="D136" t="s">
        <v>367</v>
      </c>
      <c r="E136" s="15" t="s">
        <v>386</v>
      </c>
      <c r="F136" t="s">
        <v>38</v>
      </c>
      <c r="G136" t="s">
        <v>139</v>
      </c>
      <c r="H136" t="s">
        <v>31</v>
      </c>
      <c r="I136" t="s">
        <v>341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T136" t="s">
        <v>43</v>
      </c>
      <c r="U136" t="str">
        <f t="shared" si="8"/>
        <v/>
      </c>
      <c r="V136" t="str">
        <f t="shared" si="9"/>
        <v>Ja</v>
      </c>
    </row>
    <row r="137" spans="1:22" x14ac:dyDescent="0.2">
      <c r="A137" t="s">
        <v>440</v>
      </c>
      <c r="B137" t="s">
        <v>357</v>
      </c>
      <c r="C137" t="s">
        <v>388</v>
      </c>
      <c r="D137" t="s">
        <v>367</v>
      </c>
      <c r="E137" s="15" t="s">
        <v>389</v>
      </c>
      <c r="F137" t="s">
        <v>323</v>
      </c>
      <c r="G137" t="s">
        <v>30</v>
      </c>
      <c r="H137" t="s">
        <v>31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T137" t="s">
        <v>43</v>
      </c>
      <c r="U137" t="str">
        <f t="shared" si="8"/>
        <v/>
      </c>
      <c r="V137" t="str">
        <f t="shared" si="9"/>
        <v/>
      </c>
    </row>
    <row r="138" spans="1:22" x14ac:dyDescent="0.2">
      <c r="A138" t="s">
        <v>441</v>
      </c>
      <c r="B138" t="s">
        <v>357</v>
      </c>
      <c r="C138" t="s">
        <v>392</v>
      </c>
      <c r="D138" t="s">
        <v>367</v>
      </c>
      <c r="E138" s="15" t="s">
        <v>393</v>
      </c>
      <c r="F138" t="s">
        <v>323</v>
      </c>
      <c r="G138" t="s">
        <v>30</v>
      </c>
      <c r="H138" t="s">
        <v>31</v>
      </c>
      <c r="I138" t="s">
        <v>347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T138" t="s">
        <v>43</v>
      </c>
      <c r="U138" t="str">
        <f t="shared" si="8"/>
        <v/>
      </c>
      <c r="V138" t="str">
        <f t="shared" si="9"/>
        <v>Ja</v>
      </c>
    </row>
    <row r="139" spans="1:22" x14ac:dyDescent="0.2">
      <c r="A139" t="s">
        <v>442</v>
      </c>
      <c r="B139" t="s">
        <v>357</v>
      </c>
      <c r="C139" t="s">
        <v>396</v>
      </c>
      <c r="D139" t="s">
        <v>36</v>
      </c>
      <c r="E139" s="15" t="s">
        <v>443</v>
      </c>
      <c r="F139" t="s">
        <v>323</v>
      </c>
      <c r="G139" t="s">
        <v>30</v>
      </c>
      <c r="H139" t="s">
        <v>31</v>
      </c>
      <c r="I139" t="s">
        <v>351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T139" t="s">
        <v>43</v>
      </c>
      <c r="U139" t="str">
        <f t="shared" si="8"/>
        <v/>
      </c>
      <c r="V139" t="str">
        <f t="shared" si="9"/>
        <v>Ja</v>
      </c>
    </row>
    <row r="140" spans="1:22" x14ac:dyDescent="0.2">
      <c r="A140" t="s">
        <v>444</v>
      </c>
      <c r="B140" t="s">
        <v>357</v>
      </c>
      <c r="C140" t="s">
        <v>399</v>
      </c>
      <c r="D140" t="s">
        <v>143</v>
      </c>
      <c r="E140" s="15" t="s">
        <v>400</v>
      </c>
      <c r="F140" t="s">
        <v>38</v>
      </c>
      <c r="G140" t="s">
        <v>30</v>
      </c>
      <c r="H140" t="s">
        <v>31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T140" t="s">
        <v>43</v>
      </c>
      <c r="U140" t="str">
        <f t="shared" si="8"/>
        <v/>
      </c>
      <c r="V140" t="str">
        <f t="shared" si="9"/>
        <v/>
      </c>
    </row>
    <row r="141" spans="1:22" x14ac:dyDescent="0.2">
      <c r="A141" t="s">
        <v>445</v>
      </c>
      <c r="B141" t="s">
        <v>354</v>
      </c>
      <c r="C141" t="s">
        <v>446</v>
      </c>
      <c r="D141" t="s">
        <v>357</v>
      </c>
      <c r="E141" s="15"/>
      <c r="F141" t="s">
        <v>323</v>
      </c>
      <c r="G141" t="s">
        <v>139</v>
      </c>
      <c r="H141" t="s">
        <v>31</v>
      </c>
      <c r="I141" t="str">
        <f>IF(J141&lt;&gt;"","UFDB","")</f>
        <v>UFDB</v>
      </c>
      <c r="J141" t="s">
        <v>358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T141" t="s">
        <v>43</v>
      </c>
      <c r="U141" t="str">
        <f t="shared" si="8"/>
        <v/>
      </c>
      <c r="V141" t="str">
        <f t="shared" si="9"/>
        <v>Ja</v>
      </c>
    </row>
    <row r="142" spans="1:22" x14ac:dyDescent="0.2">
      <c r="A142" t="s">
        <v>447</v>
      </c>
      <c r="B142" t="s">
        <v>357</v>
      </c>
      <c r="C142" t="s">
        <v>26</v>
      </c>
      <c r="D142" t="s">
        <v>27</v>
      </c>
      <c r="E142" s="15" t="s">
        <v>360</v>
      </c>
      <c r="F142" t="s">
        <v>29</v>
      </c>
      <c r="G142" t="s">
        <v>30</v>
      </c>
      <c r="H142" t="s">
        <v>31</v>
      </c>
      <c r="I142" t="str">
        <f>IF(J142&lt;&gt;"","UFDB","")</f>
        <v>UFDB</v>
      </c>
      <c r="J142" t="s">
        <v>361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T142" t="s">
        <v>43</v>
      </c>
      <c r="U142" t="str">
        <f t="shared" si="8"/>
        <v/>
      </c>
      <c r="V142" t="str">
        <f t="shared" si="9"/>
        <v>Ja</v>
      </c>
    </row>
    <row r="143" spans="1:22" x14ac:dyDescent="0.2">
      <c r="A143" t="s">
        <v>448</v>
      </c>
      <c r="B143" t="s">
        <v>357</v>
      </c>
      <c r="C143" t="s">
        <v>363</v>
      </c>
      <c r="D143" t="s">
        <v>364</v>
      </c>
      <c r="E143" s="15"/>
      <c r="F143" t="s">
        <v>323</v>
      </c>
      <c r="G143" t="s">
        <v>30</v>
      </c>
      <c r="H143" t="s">
        <v>31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T143" t="s">
        <v>43</v>
      </c>
      <c r="U143" t="str">
        <f t="shared" si="8"/>
        <v/>
      </c>
      <c r="V143" t="str">
        <f t="shared" si="9"/>
        <v/>
      </c>
    </row>
    <row r="144" spans="1:22" x14ac:dyDescent="0.2">
      <c r="A144" t="s">
        <v>449</v>
      </c>
      <c r="B144" t="s">
        <v>364</v>
      </c>
      <c r="C144" t="s">
        <v>366</v>
      </c>
      <c r="D144" t="s">
        <v>367</v>
      </c>
      <c r="E144" s="15" t="s">
        <v>450</v>
      </c>
      <c r="F144" t="s">
        <v>323</v>
      </c>
      <c r="G144" t="s">
        <v>30</v>
      </c>
      <c r="H144" t="s">
        <v>31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T144" t="s">
        <v>43</v>
      </c>
      <c r="U144" t="str">
        <f t="shared" ref="U144:U207" si="11">IF(AND(COUNTIF($K144:$R144,"Ja")&gt;0,OR($I144="",AND($I144="UFDB",$J144=""))),"Ja","")</f>
        <v/>
      </c>
      <c r="V144" t="str">
        <f t="shared" ref="V144:V207" si="12">IF(AND(COUNTIF($K144:$R144,"Ja")=0,$I144&lt;&gt;""),"Ja","")</f>
        <v/>
      </c>
    </row>
    <row r="145" spans="1:22" x14ac:dyDescent="0.2">
      <c r="A145" t="s">
        <v>451</v>
      </c>
      <c r="B145" t="s">
        <v>364</v>
      </c>
      <c r="C145" t="s">
        <v>370</v>
      </c>
      <c r="D145" t="s">
        <v>225</v>
      </c>
      <c r="E145" s="15"/>
      <c r="F145" t="s">
        <v>323</v>
      </c>
      <c r="G145" t="s">
        <v>30</v>
      </c>
      <c r="H145" t="s">
        <v>31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T145" t="s">
        <v>43</v>
      </c>
      <c r="U145" t="str">
        <f t="shared" si="11"/>
        <v/>
      </c>
      <c r="V145" t="str">
        <f t="shared" si="12"/>
        <v/>
      </c>
    </row>
    <row r="146" spans="1:22" x14ac:dyDescent="0.2">
      <c r="A146" t="s">
        <v>452</v>
      </c>
      <c r="B146" t="s">
        <v>225</v>
      </c>
      <c r="C146" t="s">
        <v>228</v>
      </c>
      <c r="D146" t="s">
        <v>229</v>
      </c>
      <c r="E146" s="15" t="s">
        <v>372</v>
      </c>
      <c r="F146" t="s">
        <v>323</v>
      </c>
      <c r="G146" t="s">
        <v>30</v>
      </c>
      <c r="H146" t="s">
        <v>31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T146" t="s">
        <v>43</v>
      </c>
      <c r="U146" t="str">
        <f t="shared" si="11"/>
        <v/>
      </c>
      <c r="V146" t="str">
        <f t="shared" si="12"/>
        <v/>
      </c>
    </row>
    <row r="147" spans="1:22" x14ac:dyDescent="0.2">
      <c r="A147" t="s">
        <v>453</v>
      </c>
      <c r="B147" t="s">
        <v>225</v>
      </c>
      <c r="C147" t="s">
        <v>233</v>
      </c>
      <c r="D147" t="s">
        <v>234</v>
      </c>
      <c r="E147" s="15" t="s">
        <v>374</v>
      </c>
      <c r="F147" t="s">
        <v>323</v>
      </c>
      <c r="G147" t="s">
        <v>30</v>
      </c>
      <c r="H147" t="s">
        <v>31</v>
      </c>
      <c r="J147" s="11"/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T147" t="s">
        <v>43</v>
      </c>
      <c r="U147" t="str">
        <f t="shared" si="11"/>
        <v/>
      </c>
      <c r="V147" t="str">
        <f t="shared" si="12"/>
        <v/>
      </c>
    </row>
    <row r="148" spans="1:22" x14ac:dyDescent="0.2">
      <c r="A148" t="s">
        <v>454</v>
      </c>
      <c r="B148" t="s">
        <v>364</v>
      </c>
      <c r="C148" t="s">
        <v>370</v>
      </c>
      <c r="D148" t="s">
        <v>225</v>
      </c>
      <c r="E148" s="15"/>
      <c r="F148" t="s">
        <v>38</v>
      </c>
      <c r="G148" t="s">
        <v>30</v>
      </c>
      <c r="H148" t="s">
        <v>31</v>
      </c>
      <c r="I148" t="s">
        <v>341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T148" t="s">
        <v>43</v>
      </c>
      <c r="U148" t="str">
        <f t="shared" si="11"/>
        <v/>
      </c>
      <c r="V148" t="str">
        <f t="shared" si="12"/>
        <v>Ja</v>
      </c>
    </row>
    <row r="149" spans="1:22" x14ac:dyDescent="0.2">
      <c r="A149" t="s">
        <v>455</v>
      </c>
      <c r="B149" t="s">
        <v>225</v>
      </c>
      <c r="C149" t="s">
        <v>228</v>
      </c>
      <c r="D149" t="s">
        <v>229</v>
      </c>
      <c r="E149" s="15" t="s">
        <v>456</v>
      </c>
      <c r="F149" t="s">
        <v>323</v>
      </c>
      <c r="G149" t="s">
        <v>30</v>
      </c>
      <c r="H149" t="s">
        <v>31</v>
      </c>
      <c r="I149" t="str">
        <f>IF(J149&lt;&gt;"","UFDB","")</f>
        <v>UFDB</v>
      </c>
      <c r="J149" t="s">
        <v>378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T149" t="s">
        <v>43</v>
      </c>
      <c r="U149" t="str">
        <f t="shared" si="11"/>
        <v/>
      </c>
      <c r="V149" t="str">
        <f t="shared" si="12"/>
        <v>Ja</v>
      </c>
    </row>
    <row r="150" spans="1:22" x14ac:dyDescent="0.2">
      <c r="A150" t="s">
        <v>457</v>
      </c>
      <c r="B150" t="s">
        <v>225</v>
      </c>
      <c r="C150" t="s">
        <v>233</v>
      </c>
      <c r="D150" t="s">
        <v>234</v>
      </c>
      <c r="E150" s="15" t="s">
        <v>380</v>
      </c>
      <c r="F150" t="s">
        <v>323</v>
      </c>
      <c r="G150" t="s">
        <v>30</v>
      </c>
      <c r="H150" t="s">
        <v>31</v>
      </c>
      <c r="I150" t="s">
        <v>347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T150" t="s">
        <v>43</v>
      </c>
      <c r="U150" t="str">
        <f t="shared" si="11"/>
        <v/>
      </c>
      <c r="V150" t="str">
        <f t="shared" si="12"/>
        <v>Ja</v>
      </c>
    </row>
    <row r="151" spans="1:22" x14ac:dyDescent="0.2">
      <c r="A151" t="s">
        <v>458</v>
      </c>
      <c r="B151" t="s">
        <v>364</v>
      </c>
      <c r="C151" t="s">
        <v>382</v>
      </c>
      <c r="D151" t="s">
        <v>143</v>
      </c>
      <c r="E151" s="15" t="s">
        <v>383</v>
      </c>
      <c r="F151" t="s">
        <v>323</v>
      </c>
      <c r="G151" t="s">
        <v>30</v>
      </c>
      <c r="H151" t="s">
        <v>31</v>
      </c>
      <c r="I151" t="s">
        <v>351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T151" t="s">
        <v>43</v>
      </c>
      <c r="U151" t="str">
        <f t="shared" si="11"/>
        <v/>
      </c>
      <c r="V151" t="str">
        <f t="shared" si="12"/>
        <v>Ja</v>
      </c>
    </row>
    <row r="152" spans="1:22" x14ac:dyDescent="0.2">
      <c r="A152" t="s">
        <v>459</v>
      </c>
      <c r="B152" t="s">
        <v>357</v>
      </c>
      <c r="C152" t="s">
        <v>385</v>
      </c>
      <c r="D152" t="s">
        <v>367</v>
      </c>
      <c r="E152" s="15" t="s">
        <v>386</v>
      </c>
      <c r="G152" t="s">
        <v>30</v>
      </c>
      <c r="H152" t="s">
        <v>31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T152" t="s">
        <v>43</v>
      </c>
      <c r="U152" t="str">
        <f t="shared" si="11"/>
        <v/>
      </c>
      <c r="V152" t="str">
        <f t="shared" si="12"/>
        <v/>
      </c>
    </row>
    <row r="153" spans="1:22" x14ac:dyDescent="0.2">
      <c r="A153" t="s">
        <v>460</v>
      </c>
      <c r="B153" t="s">
        <v>357</v>
      </c>
      <c r="C153" t="s">
        <v>388</v>
      </c>
      <c r="D153" t="s">
        <v>367</v>
      </c>
      <c r="E153" s="15" t="s">
        <v>389</v>
      </c>
      <c r="G153" t="s">
        <v>139</v>
      </c>
      <c r="H153" t="s">
        <v>31</v>
      </c>
      <c r="I153" t="str">
        <f>IF(J153&lt;&gt;"","UFDB","")</f>
        <v>UFDB</v>
      </c>
      <c r="J153" t="s">
        <v>390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T153" t="s">
        <v>43</v>
      </c>
      <c r="U153" t="str">
        <f t="shared" si="11"/>
        <v/>
      </c>
      <c r="V153" t="str">
        <f t="shared" si="12"/>
        <v>Ja</v>
      </c>
    </row>
    <row r="154" spans="1:22" x14ac:dyDescent="0.2">
      <c r="A154" t="s">
        <v>461</v>
      </c>
      <c r="B154" t="s">
        <v>357</v>
      </c>
      <c r="C154" t="s">
        <v>392</v>
      </c>
      <c r="D154" t="s">
        <v>367</v>
      </c>
      <c r="E154" s="15" t="s">
        <v>393</v>
      </c>
      <c r="F154" t="s">
        <v>29</v>
      </c>
      <c r="G154" t="s">
        <v>30</v>
      </c>
      <c r="H154" t="s">
        <v>31</v>
      </c>
      <c r="I154" t="str">
        <f>IF(J154&lt;&gt;"","UFDB","")</f>
        <v>UFDB</v>
      </c>
      <c r="J154" t="s">
        <v>394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T154" t="s">
        <v>43</v>
      </c>
      <c r="U154" t="str">
        <f t="shared" si="11"/>
        <v/>
      </c>
      <c r="V154" t="str">
        <f t="shared" si="12"/>
        <v>Ja</v>
      </c>
    </row>
    <row r="155" spans="1:22" x14ac:dyDescent="0.2">
      <c r="A155" t="s">
        <v>462</v>
      </c>
      <c r="B155" t="s">
        <v>357</v>
      </c>
      <c r="C155" t="s">
        <v>396</v>
      </c>
      <c r="D155" t="s">
        <v>36</v>
      </c>
      <c r="E155" s="15" t="s">
        <v>397</v>
      </c>
      <c r="F155" t="s">
        <v>323</v>
      </c>
      <c r="G155" t="s">
        <v>30</v>
      </c>
      <c r="H155" t="s">
        <v>31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T155" t="s">
        <v>43</v>
      </c>
      <c r="U155" t="str">
        <f t="shared" si="11"/>
        <v/>
      </c>
      <c r="V155" t="str">
        <f t="shared" si="12"/>
        <v/>
      </c>
    </row>
    <row r="156" spans="1:22" x14ac:dyDescent="0.2">
      <c r="A156" t="s">
        <v>463</v>
      </c>
      <c r="B156" t="s">
        <v>357</v>
      </c>
      <c r="C156" t="s">
        <v>399</v>
      </c>
      <c r="D156" t="s">
        <v>143</v>
      </c>
      <c r="E156" s="15" t="s">
        <v>400</v>
      </c>
      <c r="F156" t="s">
        <v>323</v>
      </c>
      <c r="G156" t="s">
        <v>30</v>
      </c>
      <c r="H156" t="s">
        <v>31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T156" t="s">
        <v>43</v>
      </c>
      <c r="U156" t="str">
        <f t="shared" si="11"/>
        <v/>
      </c>
      <c r="V156" t="str">
        <f t="shared" si="12"/>
        <v/>
      </c>
    </row>
    <row r="157" spans="1:22" ht="16" x14ac:dyDescent="0.2">
      <c r="A157" t="s">
        <v>464</v>
      </c>
      <c r="B157" s="27" t="s">
        <v>350</v>
      </c>
      <c r="C157" s="27" t="s">
        <v>465</v>
      </c>
      <c r="D157" s="27" t="s">
        <v>7699</v>
      </c>
      <c r="E157" s="15"/>
      <c r="F157" t="s">
        <v>323</v>
      </c>
      <c r="G157" t="s">
        <v>30</v>
      </c>
      <c r="H157" t="s">
        <v>31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T157" t="s">
        <v>43</v>
      </c>
      <c r="U157" t="str">
        <f t="shared" si="11"/>
        <v/>
      </c>
      <c r="V157" t="str">
        <f t="shared" si="12"/>
        <v/>
      </c>
    </row>
    <row r="158" spans="1:22" x14ac:dyDescent="0.2">
      <c r="A158" t="s">
        <v>466</v>
      </c>
      <c r="B158" t="s">
        <v>354</v>
      </c>
      <c r="C158" t="s">
        <v>356</v>
      </c>
      <c r="D158" t="s">
        <v>357</v>
      </c>
      <c r="E158" s="15"/>
      <c r="F158" t="s">
        <v>323</v>
      </c>
      <c r="G158" t="s">
        <v>30</v>
      </c>
      <c r="H158" t="s">
        <v>31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T158" t="s">
        <v>43</v>
      </c>
      <c r="U158" t="str">
        <f t="shared" si="11"/>
        <v/>
      </c>
      <c r="V158" t="str">
        <f t="shared" si="12"/>
        <v/>
      </c>
    </row>
    <row r="159" spans="1:22" x14ac:dyDescent="0.2">
      <c r="A159" t="s">
        <v>467</v>
      </c>
      <c r="B159" t="s">
        <v>357</v>
      </c>
      <c r="C159" t="s">
        <v>26</v>
      </c>
      <c r="D159" t="s">
        <v>27</v>
      </c>
      <c r="E159" s="15" t="s">
        <v>360</v>
      </c>
      <c r="F159" t="s">
        <v>323</v>
      </c>
      <c r="G159" t="s">
        <v>30</v>
      </c>
      <c r="H159" t="s">
        <v>31</v>
      </c>
      <c r="J159" s="11"/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T159" t="s">
        <v>43</v>
      </c>
      <c r="U159" t="str">
        <f t="shared" si="11"/>
        <v/>
      </c>
      <c r="V159" t="str">
        <f t="shared" si="12"/>
        <v/>
      </c>
    </row>
    <row r="160" spans="1:22" x14ac:dyDescent="0.2">
      <c r="A160" t="s">
        <v>468</v>
      </c>
      <c r="B160" t="s">
        <v>357</v>
      </c>
      <c r="C160" t="s">
        <v>363</v>
      </c>
      <c r="D160" t="s">
        <v>364</v>
      </c>
      <c r="E160" s="15"/>
      <c r="F160" t="s">
        <v>38</v>
      </c>
      <c r="G160" t="s">
        <v>30</v>
      </c>
      <c r="H160" t="s">
        <v>31</v>
      </c>
      <c r="I160" t="s">
        <v>341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T160" t="s">
        <v>43</v>
      </c>
      <c r="U160" t="str">
        <f t="shared" si="11"/>
        <v/>
      </c>
      <c r="V160" t="str">
        <f t="shared" si="12"/>
        <v>Ja</v>
      </c>
    </row>
    <row r="161" spans="1:22" x14ac:dyDescent="0.2">
      <c r="A161" t="s">
        <v>469</v>
      </c>
      <c r="B161" t="s">
        <v>364</v>
      </c>
      <c r="C161" t="s">
        <v>366</v>
      </c>
      <c r="D161" t="s">
        <v>367</v>
      </c>
      <c r="E161" s="15" t="s">
        <v>368</v>
      </c>
      <c r="F161" t="s">
        <v>323</v>
      </c>
      <c r="G161" t="s">
        <v>30</v>
      </c>
      <c r="H161" t="s">
        <v>31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T161" t="s">
        <v>43</v>
      </c>
      <c r="U161" t="str">
        <f t="shared" si="11"/>
        <v/>
      </c>
      <c r="V161" t="str">
        <f t="shared" si="12"/>
        <v/>
      </c>
    </row>
    <row r="162" spans="1:22" x14ac:dyDescent="0.2">
      <c r="A162" t="s">
        <v>470</v>
      </c>
      <c r="B162" t="s">
        <v>364</v>
      </c>
      <c r="C162" t="s">
        <v>370</v>
      </c>
      <c r="D162" t="s">
        <v>225</v>
      </c>
      <c r="E162" s="15"/>
      <c r="F162" t="s">
        <v>323</v>
      </c>
      <c r="G162" t="s">
        <v>30</v>
      </c>
      <c r="H162" t="s">
        <v>31</v>
      </c>
      <c r="I162" t="s">
        <v>347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T162" t="s">
        <v>43</v>
      </c>
      <c r="U162" t="str">
        <f t="shared" si="11"/>
        <v/>
      </c>
      <c r="V162" t="str">
        <f t="shared" si="12"/>
        <v>Ja</v>
      </c>
    </row>
    <row r="163" spans="1:22" x14ac:dyDescent="0.2">
      <c r="A163" t="s">
        <v>471</v>
      </c>
      <c r="B163" t="s">
        <v>225</v>
      </c>
      <c r="C163" t="s">
        <v>228</v>
      </c>
      <c r="D163" t="s">
        <v>229</v>
      </c>
      <c r="E163" s="15" t="s">
        <v>372</v>
      </c>
      <c r="F163" t="s">
        <v>323</v>
      </c>
      <c r="G163" t="s">
        <v>30</v>
      </c>
      <c r="H163" t="s">
        <v>31</v>
      </c>
      <c r="I163" t="s">
        <v>351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T163" t="s">
        <v>43</v>
      </c>
      <c r="U163" t="str">
        <f t="shared" si="11"/>
        <v/>
      </c>
      <c r="V163" t="str">
        <f t="shared" si="12"/>
        <v>Ja</v>
      </c>
    </row>
    <row r="164" spans="1:22" x14ac:dyDescent="0.2">
      <c r="A164" t="s">
        <v>472</v>
      </c>
      <c r="B164" t="s">
        <v>225</v>
      </c>
      <c r="C164" t="s">
        <v>233</v>
      </c>
      <c r="D164" t="s">
        <v>234</v>
      </c>
      <c r="E164" s="15" t="s">
        <v>374</v>
      </c>
      <c r="G164" t="s">
        <v>30</v>
      </c>
      <c r="H164" t="s">
        <v>31</v>
      </c>
      <c r="I164" t="str">
        <f>IF(J164&lt;&gt;"","UFDB","")</f>
        <v>UFDB</v>
      </c>
      <c r="J164" t="s">
        <v>411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T164" t="s">
        <v>43</v>
      </c>
      <c r="U164" t="str">
        <f t="shared" si="11"/>
        <v/>
      </c>
      <c r="V164" t="str">
        <f t="shared" si="12"/>
        <v>Ja</v>
      </c>
    </row>
    <row r="165" spans="1:22" x14ac:dyDescent="0.2">
      <c r="A165" t="s">
        <v>473</v>
      </c>
      <c r="B165" t="s">
        <v>364</v>
      </c>
      <c r="C165" t="s">
        <v>370</v>
      </c>
      <c r="D165" t="s">
        <v>225</v>
      </c>
      <c r="E165" s="15"/>
      <c r="G165" t="s">
        <v>139</v>
      </c>
      <c r="H165" t="s">
        <v>31</v>
      </c>
      <c r="I165" t="str">
        <f>IF(J165&lt;&gt;"","UFDB","")</f>
        <v>UFDB</v>
      </c>
      <c r="J165" t="s">
        <v>414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T165" t="s">
        <v>43</v>
      </c>
      <c r="U165" t="str">
        <f t="shared" si="11"/>
        <v/>
      </c>
      <c r="V165" t="str">
        <f t="shared" si="12"/>
        <v>Ja</v>
      </c>
    </row>
    <row r="166" spans="1:22" x14ac:dyDescent="0.2">
      <c r="A166" t="s">
        <v>474</v>
      </c>
      <c r="B166" t="s">
        <v>225</v>
      </c>
      <c r="C166" t="s">
        <v>228</v>
      </c>
      <c r="D166" t="s">
        <v>229</v>
      </c>
      <c r="E166" s="15" t="s">
        <v>475</v>
      </c>
      <c r="F166" t="s">
        <v>29</v>
      </c>
      <c r="G166" t="s">
        <v>30</v>
      </c>
      <c r="H166" t="s">
        <v>31</v>
      </c>
      <c r="I166" t="str">
        <f>IF(J166&lt;&gt;"","UFDB","")</f>
        <v>UFDB</v>
      </c>
      <c r="J166" t="s">
        <v>476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T166" t="s">
        <v>43</v>
      </c>
      <c r="U166" t="str">
        <f t="shared" si="11"/>
        <v/>
      </c>
      <c r="V166" t="str">
        <f t="shared" si="12"/>
        <v>Ja</v>
      </c>
    </row>
    <row r="167" spans="1:22" x14ac:dyDescent="0.2">
      <c r="A167" t="s">
        <v>477</v>
      </c>
      <c r="B167" t="s">
        <v>225</v>
      </c>
      <c r="C167" t="s">
        <v>233</v>
      </c>
      <c r="D167" t="s">
        <v>234</v>
      </c>
      <c r="E167" s="15" t="s">
        <v>380</v>
      </c>
      <c r="F167" t="s">
        <v>323</v>
      </c>
      <c r="G167" t="s">
        <v>30</v>
      </c>
      <c r="H167" t="s">
        <v>31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43</v>
      </c>
      <c r="T167" t="s">
        <v>43</v>
      </c>
      <c r="U167" t="str">
        <f t="shared" si="11"/>
        <v/>
      </c>
      <c r="V167" t="str">
        <f t="shared" si="12"/>
        <v/>
      </c>
    </row>
    <row r="168" spans="1:22" x14ac:dyDescent="0.2">
      <c r="A168" t="s">
        <v>478</v>
      </c>
      <c r="B168" t="s">
        <v>364</v>
      </c>
      <c r="C168" t="s">
        <v>382</v>
      </c>
      <c r="D168" t="s">
        <v>143</v>
      </c>
      <c r="E168" s="15" t="s">
        <v>383</v>
      </c>
      <c r="F168" t="s">
        <v>323</v>
      </c>
      <c r="G168" t="s">
        <v>30</v>
      </c>
      <c r="H168" t="s">
        <v>31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43</v>
      </c>
      <c r="T168" t="s">
        <v>43</v>
      </c>
      <c r="U168" t="str">
        <f t="shared" si="11"/>
        <v/>
      </c>
      <c r="V168" t="str">
        <f t="shared" si="12"/>
        <v/>
      </c>
    </row>
    <row r="169" spans="1:22" x14ac:dyDescent="0.2">
      <c r="A169" t="s">
        <v>479</v>
      </c>
      <c r="B169" t="s">
        <v>357</v>
      </c>
      <c r="C169" t="s">
        <v>385</v>
      </c>
      <c r="D169" t="s">
        <v>367</v>
      </c>
      <c r="E169" s="15" t="s">
        <v>386</v>
      </c>
      <c r="F169" t="s">
        <v>323</v>
      </c>
      <c r="G169" t="s">
        <v>30</v>
      </c>
      <c r="H169" t="s">
        <v>31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43</v>
      </c>
      <c r="T169" t="s">
        <v>43</v>
      </c>
      <c r="U169" t="str">
        <f t="shared" si="11"/>
        <v/>
      </c>
      <c r="V169" t="str">
        <f t="shared" si="12"/>
        <v/>
      </c>
    </row>
    <row r="170" spans="1:22" x14ac:dyDescent="0.2">
      <c r="A170" t="s">
        <v>480</v>
      </c>
      <c r="B170" t="s">
        <v>357</v>
      </c>
      <c r="C170" t="s">
        <v>388</v>
      </c>
      <c r="D170" t="s">
        <v>367</v>
      </c>
      <c r="E170" s="15" t="s">
        <v>389</v>
      </c>
      <c r="F170" t="s">
        <v>323</v>
      </c>
      <c r="G170" t="s">
        <v>30</v>
      </c>
      <c r="H170" t="s">
        <v>31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43</v>
      </c>
      <c r="T170" t="s">
        <v>43</v>
      </c>
      <c r="U170" t="str">
        <f t="shared" si="11"/>
        <v/>
      </c>
      <c r="V170" t="str">
        <f t="shared" si="12"/>
        <v/>
      </c>
    </row>
    <row r="171" spans="1:22" x14ac:dyDescent="0.2">
      <c r="A171" t="s">
        <v>481</v>
      </c>
      <c r="B171" t="s">
        <v>357</v>
      </c>
      <c r="C171" t="s">
        <v>392</v>
      </c>
      <c r="D171" t="s">
        <v>367</v>
      </c>
      <c r="E171" s="15" t="s">
        <v>393</v>
      </c>
      <c r="F171" t="s">
        <v>323</v>
      </c>
      <c r="G171" t="s">
        <v>30</v>
      </c>
      <c r="H171" t="s">
        <v>31</v>
      </c>
      <c r="J171" s="11"/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43</v>
      </c>
      <c r="T171" t="s">
        <v>43</v>
      </c>
      <c r="U171" t="str">
        <f t="shared" si="11"/>
        <v/>
      </c>
      <c r="V171" t="str">
        <f t="shared" si="12"/>
        <v/>
      </c>
    </row>
    <row r="172" spans="1:22" x14ac:dyDescent="0.2">
      <c r="A172" t="s">
        <v>482</v>
      </c>
      <c r="B172" t="s">
        <v>357</v>
      </c>
      <c r="C172" t="s">
        <v>396</v>
      </c>
      <c r="D172" t="s">
        <v>36</v>
      </c>
      <c r="E172" s="15" t="s">
        <v>443</v>
      </c>
      <c r="F172" t="s">
        <v>38</v>
      </c>
      <c r="G172" t="s">
        <v>30</v>
      </c>
      <c r="H172" t="s">
        <v>31</v>
      </c>
      <c r="I172" t="s">
        <v>341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43</v>
      </c>
      <c r="T172" t="s">
        <v>43</v>
      </c>
      <c r="U172" t="str">
        <f t="shared" si="11"/>
        <v/>
      </c>
      <c r="V172" t="str">
        <f t="shared" si="12"/>
        <v>Ja</v>
      </c>
    </row>
    <row r="173" spans="1:22" x14ac:dyDescent="0.2">
      <c r="A173" t="s">
        <v>483</v>
      </c>
      <c r="B173" t="s">
        <v>357</v>
      </c>
      <c r="C173" t="s">
        <v>399</v>
      </c>
      <c r="D173" t="s">
        <v>143</v>
      </c>
      <c r="E173" s="15" t="s">
        <v>400</v>
      </c>
      <c r="F173" t="s">
        <v>323</v>
      </c>
      <c r="G173" t="s">
        <v>30</v>
      </c>
      <c r="H173" t="s">
        <v>31</v>
      </c>
      <c r="I173" t="str">
        <f>IF(J173&lt;&gt;"","UFDB","")</f>
        <v/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T173" t="s">
        <v>43</v>
      </c>
      <c r="U173" t="str">
        <f t="shared" si="11"/>
        <v/>
      </c>
      <c r="V173" t="str">
        <f t="shared" si="12"/>
        <v/>
      </c>
    </row>
    <row r="174" spans="1:22" x14ac:dyDescent="0.2">
      <c r="A174" t="s">
        <v>484</v>
      </c>
      <c r="B174" t="s">
        <v>354</v>
      </c>
      <c r="C174" t="s">
        <v>402</v>
      </c>
      <c r="D174" t="s">
        <v>357</v>
      </c>
      <c r="E174" s="15"/>
      <c r="F174" t="s">
        <v>323</v>
      </c>
      <c r="G174" t="s">
        <v>30</v>
      </c>
      <c r="H174" t="s">
        <v>31</v>
      </c>
      <c r="I174" t="s">
        <v>347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T174" t="s">
        <v>43</v>
      </c>
      <c r="U174" t="str">
        <f t="shared" si="11"/>
        <v/>
      </c>
      <c r="V174" t="str">
        <f t="shared" si="12"/>
        <v>Ja</v>
      </c>
    </row>
    <row r="175" spans="1:22" x14ac:dyDescent="0.2">
      <c r="A175" t="s">
        <v>485</v>
      </c>
      <c r="B175" t="s">
        <v>357</v>
      </c>
      <c r="C175" t="s">
        <v>26</v>
      </c>
      <c r="D175" t="s">
        <v>27</v>
      </c>
      <c r="E175" s="15" t="s">
        <v>360</v>
      </c>
      <c r="F175" t="s">
        <v>323</v>
      </c>
      <c r="G175" t="s">
        <v>30</v>
      </c>
      <c r="H175" t="s">
        <v>31</v>
      </c>
      <c r="I175" t="s">
        <v>351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T175" t="s">
        <v>43</v>
      </c>
      <c r="U175" t="str">
        <f t="shared" si="11"/>
        <v/>
      </c>
      <c r="V175" t="str">
        <f t="shared" si="12"/>
        <v>Ja</v>
      </c>
    </row>
    <row r="176" spans="1:22" x14ac:dyDescent="0.2">
      <c r="A176" t="s">
        <v>486</v>
      </c>
      <c r="B176" t="s">
        <v>357</v>
      </c>
      <c r="C176" t="s">
        <v>363</v>
      </c>
      <c r="D176" t="s">
        <v>364</v>
      </c>
      <c r="E176" s="15"/>
      <c r="G176" t="s">
        <v>30</v>
      </c>
      <c r="H176" t="s">
        <v>31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T176" t="s">
        <v>43</v>
      </c>
      <c r="U176" t="str">
        <f t="shared" si="11"/>
        <v/>
      </c>
      <c r="V176" t="str">
        <f t="shared" si="12"/>
        <v/>
      </c>
    </row>
    <row r="177" spans="1:22" x14ac:dyDescent="0.2">
      <c r="A177" t="s">
        <v>487</v>
      </c>
      <c r="B177" t="s">
        <v>364</v>
      </c>
      <c r="C177" t="s">
        <v>366</v>
      </c>
      <c r="D177" t="s">
        <v>367</v>
      </c>
      <c r="E177" s="15" t="s">
        <v>368</v>
      </c>
      <c r="G177" t="s">
        <v>139</v>
      </c>
      <c r="H177" t="s">
        <v>31</v>
      </c>
      <c r="I177" t="str">
        <f t="shared" ref="I177:I183" si="13">IF(J177&lt;&gt;"","UFDB","")</f>
        <v>UFDB</v>
      </c>
      <c r="J177" t="s">
        <v>488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T177" t="s">
        <v>43</v>
      </c>
      <c r="U177" t="str">
        <f t="shared" si="11"/>
        <v/>
      </c>
      <c r="V177" t="str">
        <f t="shared" si="12"/>
        <v>Ja</v>
      </c>
    </row>
    <row r="178" spans="1:22" x14ac:dyDescent="0.2">
      <c r="A178" t="s">
        <v>489</v>
      </c>
      <c r="B178" t="s">
        <v>364</v>
      </c>
      <c r="C178" t="s">
        <v>370</v>
      </c>
      <c r="D178" t="s">
        <v>225</v>
      </c>
      <c r="E178" s="15"/>
      <c r="F178" t="s">
        <v>29</v>
      </c>
      <c r="G178" t="s">
        <v>30</v>
      </c>
      <c r="H178" t="s">
        <v>31</v>
      </c>
      <c r="I178" t="str">
        <f t="shared" si="13"/>
        <v>UFDB</v>
      </c>
      <c r="J178" t="s">
        <v>490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T178" t="s">
        <v>43</v>
      </c>
      <c r="U178" t="str">
        <f t="shared" si="11"/>
        <v/>
      </c>
      <c r="V178" t="str">
        <f t="shared" si="12"/>
        <v>Ja</v>
      </c>
    </row>
    <row r="179" spans="1:22" x14ac:dyDescent="0.2">
      <c r="A179" t="s">
        <v>491</v>
      </c>
      <c r="B179" t="s">
        <v>225</v>
      </c>
      <c r="C179" t="s">
        <v>228</v>
      </c>
      <c r="D179" t="s">
        <v>229</v>
      </c>
      <c r="E179" s="15" t="s">
        <v>372</v>
      </c>
      <c r="F179" t="s">
        <v>323</v>
      </c>
      <c r="G179" t="s">
        <v>30</v>
      </c>
      <c r="H179" t="s">
        <v>31</v>
      </c>
      <c r="I179" t="str">
        <f t="shared" si="13"/>
        <v>UFDB</v>
      </c>
      <c r="J179" t="s">
        <v>492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T179" t="s">
        <v>43</v>
      </c>
      <c r="U179" t="str">
        <f t="shared" si="11"/>
        <v/>
      </c>
      <c r="V179" t="str">
        <f t="shared" si="12"/>
        <v>Ja</v>
      </c>
    </row>
    <row r="180" spans="1:22" x14ac:dyDescent="0.2">
      <c r="A180" t="s">
        <v>493</v>
      </c>
      <c r="B180" t="s">
        <v>225</v>
      </c>
      <c r="C180" t="s">
        <v>233</v>
      </c>
      <c r="D180" t="s">
        <v>234</v>
      </c>
      <c r="E180" s="15" t="s">
        <v>374</v>
      </c>
      <c r="F180" t="s">
        <v>323</v>
      </c>
      <c r="G180" t="s">
        <v>30</v>
      </c>
      <c r="H180" t="s">
        <v>31</v>
      </c>
      <c r="I180" t="str">
        <f t="shared" si="13"/>
        <v/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T180" t="s">
        <v>43</v>
      </c>
      <c r="U180" t="str">
        <f t="shared" si="11"/>
        <v/>
      </c>
      <c r="V180" t="str">
        <f t="shared" si="12"/>
        <v/>
      </c>
    </row>
    <row r="181" spans="1:22" x14ac:dyDescent="0.2">
      <c r="A181" t="s">
        <v>494</v>
      </c>
      <c r="B181" t="s">
        <v>364</v>
      </c>
      <c r="C181" t="s">
        <v>370</v>
      </c>
      <c r="D181" t="s">
        <v>225</v>
      </c>
      <c r="E181" s="15"/>
      <c r="F181" t="s">
        <v>323</v>
      </c>
      <c r="G181" t="s">
        <v>30</v>
      </c>
      <c r="H181" t="s">
        <v>31</v>
      </c>
      <c r="I181" t="str">
        <f t="shared" si="13"/>
        <v/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T181" t="s">
        <v>43</v>
      </c>
      <c r="U181" t="str">
        <f t="shared" si="11"/>
        <v/>
      </c>
      <c r="V181" t="str">
        <f t="shared" si="12"/>
        <v/>
      </c>
    </row>
    <row r="182" spans="1:22" x14ac:dyDescent="0.2">
      <c r="A182" t="s">
        <v>495</v>
      </c>
      <c r="B182" t="s">
        <v>225</v>
      </c>
      <c r="C182" t="s">
        <v>228</v>
      </c>
      <c r="D182" t="s">
        <v>229</v>
      </c>
      <c r="E182" s="15" t="s">
        <v>496</v>
      </c>
      <c r="F182" t="s">
        <v>323</v>
      </c>
      <c r="G182" t="s">
        <v>30</v>
      </c>
      <c r="H182" t="s">
        <v>31</v>
      </c>
      <c r="I182" t="str">
        <f t="shared" si="13"/>
        <v/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T182" t="s">
        <v>43</v>
      </c>
      <c r="U182" t="str">
        <f t="shared" si="11"/>
        <v/>
      </c>
      <c r="V182" t="str">
        <f t="shared" si="12"/>
        <v/>
      </c>
    </row>
    <row r="183" spans="1:22" x14ac:dyDescent="0.2">
      <c r="A183" t="s">
        <v>497</v>
      </c>
      <c r="B183" t="s">
        <v>225</v>
      </c>
      <c r="C183" t="s">
        <v>233</v>
      </c>
      <c r="D183" t="s">
        <v>234</v>
      </c>
      <c r="E183" s="15" t="s">
        <v>380</v>
      </c>
      <c r="F183" t="s">
        <v>323</v>
      </c>
      <c r="G183" t="s">
        <v>30</v>
      </c>
      <c r="H183" t="s">
        <v>31</v>
      </c>
      <c r="I183" t="str">
        <f t="shared" si="13"/>
        <v/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T183" t="s">
        <v>43</v>
      </c>
      <c r="U183" t="str">
        <f t="shared" si="11"/>
        <v/>
      </c>
      <c r="V183" t="str">
        <f t="shared" si="12"/>
        <v/>
      </c>
    </row>
    <row r="184" spans="1:22" x14ac:dyDescent="0.2">
      <c r="A184" t="s">
        <v>498</v>
      </c>
      <c r="B184" t="s">
        <v>364</v>
      </c>
      <c r="C184" t="s">
        <v>382</v>
      </c>
      <c r="D184" t="s">
        <v>143</v>
      </c>
      <c r="E184" s="15" t="s">
        <v>418</v>
      </c>
      <c r="F184" t="s">
        <v>38</v>
      </c>
      <c r="G184" t="s">
        <v>30</v>
      </c>
      <c r="H184" t="s">
        <v>31</v>
      </c>
      <c r="I184" t="s">
        <v>341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T184" t="s">
        <v>43</v>
      </c>
      <c r="U184" t="str">
        <f t="shared" si="11"/>
        <v/>
      </c>
      <c r="V184" t="str">
        <f t="shared" si="12"/>
        <v>Ja</v>
      </c>
    </row>
    <row r="185" spans="1:22" x14ac:dyDescent="0.2">
      <c r="A185" t="s">
        <v>499</v>
      </c>
      <c r="B185" t="s">
        <v>357</v>
      </c>
      <c r="C185" t="s">
        <v>385</v>
      </c>
      <c r="D185" t="s">
        <v>367</v>
      </c>
      <c r="E185" s="15" t="s">
        <v>386</v>
      </c>
      <c r="F185" t="s">
        <v>323</v>
      </c>
      <c r="G185" t="s">
        <v>30</v>
      </c>
      <c r="H185" t="s">
        <v>31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43</v>
      </c>
      <c r="T185" t="s">
        <v>43</v>
      </c>
      <c r="U185" t="str">
        <f t="shared" si="11"/>
        <v/>
      </c>
      <c r="V185" t="str">
        <f t="shared" si="12"/>
        <v/>
      </c>
    </row>
    <row r="186" spans="1:22" x14ac:dyDescent="0.2">
      <c r="A186" t="s">
        <v>500</v>
      </c>
      <c r="B186" t="s">
        <v>357</v>
      </c>
      <c r="C186" t="s">
        <v>388</v>
      </c>
      <c r="D186" t="s">
        <v>367</v>
      </c>
      <c r="E186" s="15" t="s">
        <v>389</v>
      </c>
      <c r="F186" t="s">
        <v>323</v>
      </c>
      <c r="G186" t="s">
        <v>30</v>
      </c>
      <c r="H186" t="s">
        <v>31</v>
      </c>
      <c r="I186" t="s">
        <v>347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43</v>
      </c>
      <c r="T186" t="s">
        <v>43</v>
      </c>
      <c r="U186" t="str">
        <f t="shared" si="11"/>
        <v/>
      </c>
      <c r="V186" t="str">
        <f t="shared" si="12"/>
        <v>Ja</v>
      </c>
    </row>
    <row r="187" spans="1:22" x14ac:dyDescent="0.2">
      <c r="A187" t="s">
        <v>501</v>
      </c>
      <c r="B187" t="s">
        <v>357</v>
      </c>
      <c r="C187" t="s">
        <v>392</v>
      </c>
      <c r="D187" t="s">
        <v>367</v>
      </c>
      <c r="E187" s="15" t="s">
        <v>393</v>
      </c>
      <c r="F187" t="s">
        <v>323</v>
      </c>
      <c r="G187" t="s">
        <v>30</v>
      </c>
      <c r="H187" t="s">
        <v>31</v>
      </c>
      <c r="I187" t="s">
        <v>351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T187" t="s">
        <v>43</v>
      </c>
      <c r="U187" t="str">
        <f t="shared" si="11"/>
        <v/>
      </c>
      <c r="V187" t="str">
        <f t="shared" si="12"/>
        <v>Ja</v>
      </c>
    </row>
    <row r="188" spans="1:22" x14ac:dyDescent="0.2">
      <c r="A188" t="s">
        <v>502</v>
      </c>
      <c r="B188" t="s">
        <v>357</v>
      </c>
      <c r="C188" t="s">
        <v>396</v>
      </c>
      <c r="D188" t="s">
        <v>36</v>
      </c>
      <c r="E188" s="15" t="s">
        <v>443</v>
      </c>
      <c r="G188" t="s">
        <v>30</v>
      </c>
      <c r="H188" t="s">
        <v>31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T188" t="s">
        <v>43</v>
      </c>
      <c r="U188" t="str">
        <f t="shared" si="11"/>
        <v/>
      </c>
      <c r="V188" t="str">
        <f t="shared" si="12"/>
        <v/>
      </c>
    </row>
    <row r="189" spans="1:22" x14ac:dyDescent="0.2">
      <c r="A189" t="s">
        <v>503</v>
      </c>
      <c r="B189" t="s">
        <v>357</v>
      </c>
      <c r="C189" t="s">
        <v>399</v>
      </c>
      <c r="D189" t="s">
        <v>143</v>
      </c>
      <c r="E189" s="15" t="s">
        <v>400</v>
      </c>
      <c r="G189" t="s">
        <v>139</v>
      </c>
      <c r="H189" t="s">
        <v>31</v>
      </c>
      <c r="I189" t="str">
        <f>IF(J189&lt;&gt;"","UFDB","")</f>
        <v>UFDB</v>
      </c>
      <c r="J189" t="s">
        <v>504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43</v>
      </c>
      <c r="T189" t="s">
        <v>43</v>
      </c>
      <c r="U189" t="str">
        <f t="shared" si="11"/>
        <v/>
      </c>
      <c r="V189" t="str">
        <f t="shared" si="12"/>
        <v>Ja</v>
      </c>
    </row>
    <row r="190" spans="1:22" x14ac:dyDescent="0.2">
      <c r="A190" t="s">
        <v>505</v>
      </c>
      <c r="B190" t="s">
        <v>354</v>
      </c>
      <c r="C190" t="s">
        <v>425</v>
      </c>
      <c r="D190" t="s">
        <v>357</v>
      </c>
      <c r="E190" s="15"/>
      <c r="F190" t="s">
        <v>29</v>
      </c>
      <c r="G190" t="s">
        <v>30</v>
      </c>
      <c r="H190" t="s">
        <v>31</v>
      </c>
      <c r="I190" t="str">
        <f>IF(J190&lt;&gt;"","UFDB","")</f>
        <v>UFDB</v>
      </c>
      <c r="J190" t="s">
        <v>506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T190" t="s">
        <v>43</v>
      </c>
      <c r="U190" t="str">
        <f t="shared" si="11"/>
        <v/>
      </c>
      <c r="V190" t="str">
        <f t="shared" si="12"/>
        <v>Ja</v>
      </c>
    </row>
    <row r="191" spans="1:22" x14ac:dyDescent="0.2">
      <c r="A191" t="s">
        <v>507</v>
      </c>
      <c r="B191" t="s">
        <v>357</v>
      </c>
      <c r="C191" t="s">
        <v>26</v>
      </c>
      <c r="D191" t="s">
        <v>27</v>
      </c>
      <c r="E191" s="15" t="s">
        <v>360</v>
      </c>
      <c r="F191" t="s">
        <v>323</v>
      </c>
      <c r="G191" t="s">
        <v>30</v>
      </c>
      <c r="H191" t="s">
        <v>31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T191" t="s">
        <v>43</v>
      </c>
      <c r="U191" t="str">
        <f t="shared" si="11"/>
        <v/>
      </c>
      <c r="V191" t="str">
        <f t="shared" si="12"/>
        <v/>
      </c>
    </row>
    <row r="192" spans="1:22" x14ac:dyDescent="0.2">
      <c r="A192" t="s">
        <v>508</v>
      </c>
      <c r="B192" t="s">
        <v>357</v>
      </c>
      <c r="C192" t="s">
        <v>363</v>
      </c>
      <c r="D192" t="s">
        <v>364</v>
      </c>
      <c r="E192" s="15"/>
      <c r="F192" t="s">
        <v>323</v>
      </c>
      <c r="G192" t="s">
        <v>30</v>
      </c>
      <c r="H192" t="s">
        <v>31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T192" t="s">
        <v>43</v>
      </c>
      <c r="U192" t="str">
        <f t="shared" si="11"/>
        <v/>
      </c>
      <c r="V192" t="str">
        <f t="shared" si="12"/>
        <v/>
      </c>
    </row>
    <row r="193" spans="1:22" x14ac:dyDescent="0.2">
      <c r="A193" t="s">
        <v>509</v>
      </c>
      <c r="B193" t="s">
        <v>364</v>
      </c>
      <c r="C193" t="s">
        <v>366</v>
      </c>
      <c r="D193" t="s">
        <v>367</v>
      </c>
      <c r="E193" s="15" t="s">
        <v>429</v>
      </c>
      <c r="F193" t="s">
        <v>323</v>
      </c>
      <c r="G193" t="s">
        <v>30</v>
      </c>
      <c r="H193" t="s">
        <v>31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T193" t="s">
        <v>43</v>
      </c>
      <c r="U193" t="str">
        <f t="shared" si="11"/>
        <v/>
      </c>
      <c r="V193" t="str">
        <f t="shared" si="12"/>
        <v/>
      </c>
    </row>
    <row r="194" spans="1:22" x14ac:dyDescent="0.2">
      <c r="A194" t="s">
        <v>510</v>
      </c>
      <c r="B194" t="s">
        <v>364</v>
      </c>
      <c r="C194" t="s">
        <v>370</v>
      </c>
      <c r="D194" t="s">
        <v>225</v>
      </c>
      <c r="E194" s="15"/>
      <c r="F194" t="s">
        <v>323</v>
      </c>
      <c r="G194" t="s">
        <v>30</v>
      </c>
      <c r="H194" t="s">
        <v>31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T194" t="s">
        <v>43</v>
      </c>
      <c r="U194" t="str">
        <f t="shared" si="11"/>
        <v/>
      </c>
      <c r="V194" t="str">
        <f t="shared" si="12"/>
        <v/>
      </c>
    </row>
    <row r="195" spans="1:22" x14ac:dyDescent="0.2">
      <c r="A195" t="s">
        <v>511</v>
      </c>
      <c r="B195" t="s">
        <v>225</v>
      </c>
      <c r="C195" t="s">
        <v>228</v>
      </c>
      <c r="D195" t="s">
        <v>229</v>
      </c>
      <c r="E195" s="15" t="s">
        <v>372</v>
      </c>
      <c r="F195" t="s">
        <v>323</v>
      </c>
      <c r="G195" t="s">
        <v>30</v>
      </c>
      <c r="H195" t="s">
        <v>31</v>
      </c>
      <c r="J195" s="11"/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T195" t="s">
        <v>43</v>
      </c>
      <c r="U195" t="str">
        <f t="shared" si="11"/>
        <v/>
      </c>
      <c r="V195" t="str">
        <f t="shared" si="12"/>
        <v/>
      </c>
    </row>
    <row r="196" spans="1:22" x14ac:dyDescent="0.2">
      <c r="A196" t="s">
        <v>512</v>
      </c>
      <c r="B196" t="s">
        <v>225</v>
      </c>
      <c r="C196" t="s">
        <v>233</v>
      </c>
      <c r="D196" t="s">
        <v>234</v>
      </c>
      <c r="E196" s="15" t="s">
        <v>374</v>
      </c>
      <c r="F196" t="s">
        <v>38</v>
      </c>
      <c r="G196" t="s">
        <v>30</v>
      </c>
      <c r="H196" t="s">
        <v>31</v>
      </c>
      <c r="I196" t="s">
        <v>341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T196" t="s">
        <v>43</v>
      </c>
      <c r="U196" t="str">
        <f t="shared" si="11"/>
        <v/>
      </c>
      <c r="V196" t="str">
        <f t="shared" si="12"/>
        <v>Ja</v>
      </c>
    </row>
    <row r="197" spans="1:22" x14ac:dyDescent="0.2">
      <c r="A197" t="s">
        <v>513</v>
      </c>
      <c r="B197" t="s">
        <v>364</v>
      </c>
      <c r="C197" t="s">
        <v>370</v>
      </c>
      <c r="D197" t="s">
        <v>225</v>
      </c>
      <c r="E197" s="15"/>
      <c r="F197" t="s">
        <v>323</v>
      </c>
      <c r="G197" t="s">
        <v>30</v>
      </c>
      <c r="H197" t="s">
        <v>31</v>
      </c>
      <c r="I197" t="str">
        <f>IF(J197&lt;&gt;"","UFDB","")</f>
        <v>UFDB</v>
      </c>
      <c r="J197" t="s">
        <v>514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T197" t="s">
        <v>43</v>
      </c>
      <c r="U197" t="str">
        <f t="shared" si="11"/>
        <v/>
      </c>
      <c r="V197" t="str">
        <f t="shared" si="12"/>
        <v>Ja</v>
      </c>
    </row>
    <row r="198" spans="1:22" x14ac:dyDescent="0.2">
      <c r="A198" t="s">
        <v>515</v>
      </c>
      <c r="B198" t="s">
        <v>225</v>
      </c>
      <c r="C198" t="s">
        <v>228</v>
      </c>
      <c r="D198" t="s">
        <v>229</v>
      </c>
      <c r="E198" s="15" t="s">
        <v>436</v>
      </c>
      <c r="F198" t="s">
        <v>323</v>
      </c>
      <c r="G198" t="s">
        <v>30</v>
      </c>
      <c r="H198" t="s">
        <v>31</v>
      </c>
      <c r="I198" t="s">
        <v>347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T198" t="s">
        <v>43</v>
      </c>
      <c r="U198" t="str">
        <f t="shared" si="11"/>
        <v/>
      </c>
      <c r="V198" t="str">
        <f t="shared" si="12"/>
        <v>Ja</v>
      </c>
    </row>
    <row r="199" spans="1:22" x14ac:dyDescent="0.2">
      <c r="A199" t="s">
        <v>516</v>
      </c>
      <c r="B199" t="s">
        <v>225</v>
      </c>
      <c r="C199" t="s">
        <v>233</v>
      </c>
      <c r="D199" t="s">
        <v>234</v>
      </c>
      <c r="E199" s="15" t="s">
        <v>380</v>
      </c>
      <c r="F199" t="s">
        <v>323</v>
      </c>
      <c r="G199" t="s">
        <v>30</v>
      </c>
      <c r="H199" t="s">
        <v>31</v>
      </c>
      <c r="I199" t="s">
        <v>351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T199" t="s">
        <v>43</v>
      </c>
      <c r="U199" t="str">
        <f t="shared" si="11"/>
        <v/>
      </c>
      <c r="V199" t="str">
        <f t="shared" si="12"/>
        <v>Ja</v>
      </c>
    </row>
    <row r="200" spans="1:22" x14ac:dyDescent="0.2">
      <c r="A200" t="s">
        <v>517</v>
      </c>
      <c r="B200" t="s">
        <v>364</v>
      </c>
      <c r="C200" t="s">
        <v>382</v>
      </c>
      <c r="D200" t="s">
        <v>143</v>
      </c>
      <c r="E200" s="15" t="s">
        <v>383</v>
      </c>
      <c r="G200" t="s">
        <v>30</v>
      </c>
      <c r="H200" t="s">
        <v>31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T200" t="s">
        <v>43</v>
      </c>
      <c r="U200" t="str">
        <f t="shared" si="11"/>
        <v/>
      </c>
      <c r="V200" t="str">
        <f t="shared" si="12"/>
        <v/>
      </c>
    </row>
    <row r="201" spans="1:22" x14ac:dyDescent="0.2">
      <c r="A201" t="s">
        <v>518</v>
      </c>
      <c r="B201" t="s">
        <v>357</v>
      </c>
      <c r="C201" t="s">
        <v>385</v>
      </c>
      <c r="D201" t="s">
        <v>367</v>
      </c>
      <c r="E201" s="15" t="s">
        <v>386</v>
      </c>
      <c r="G201" t="s">
        <v>139</v>
      </c>
      <c r="H201" t="s">
        <v>31</v>
      </c>
      <c r="I201" t="str">
        <f>IF(J201&lt;&gt;"","UFDB","")</f>
        <v>UFDB</v>
      </c>
      <c r="J201" t="s">
        <v>519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T201" t="s">
        <v>43</v>
      </c>
      <c r="U201" t="str">
        <f t="shared" si="11"/>
        <v/>
      </c>
      <c r="V201" t="str">
        <f t="shared" si="12"/>
        <v>Ja</v>
      </c>
    </row>
    <row r="202" spans="1:22" x14ac:dyDescent="0.2">
      <c r="A202" t="s">
        <v>520</v>
      </c>
      <c r="B202" t="s">
        <v>357</v>
      </c>
      <c r="C202" t="s">
        <v>388</v>
      </c>
      <c r="D202" t="s">
        <v>367</v>
      </c>
      <c r="E202" s="15" t="s">
        <v>389</v>
      </c>
      <c r="F202" t="s">
        <v>29</v>
      </c>
      <c r="G202" t="s">
        <v>30</v>
      </c>
      <c r="H202" t="s">
        <v>31</v>
      </c>
      <c r="I202" t="str">
        <f>IF(J202&lt;&gt;"","UFDB","")</f>
        <v/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T202" t="s">
        <v>43</v>
      </c>
      <c r="U202" t="str">
        <f t="shared" si="11"/>
        <v/>
      </c>
      <c r="V202" t="str">
        <f t="shared" si="12"/>
        <v/>
      </c>
    </row>
    <row r="203" spans="1:22" x14ac:dyDescent="0.2">
      <c r="A203" t="s">
        <v>521</v>
      </c>
      <c r="B203" t="s">
        <v>357</v>
      </c>
      <c r="C203" t="s">
        <v>392</v>
      </c>
      <c r="D203" t="s">
        <v>367</v>
      </c>
      <c r="E203" s="15" t="s">
        <v>393</v>
      </c>
      <c r="F203" t="s">
        <v>323</v>
      </c>
      <c r="G203" t="s">
        <v>30</v>
      </c>
      <c r="H203" t="s">
        <v>31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T203" t="s">
        <v>43</v>
      </c>
      <c r="U203" t="str">
        <f t="shared" si="11"/>
        <v/>
      </c>
      <c r="V203" t="str">
        <f t="shared" si="12"/>
        <v/>
      </c>
    </row>
    <row r="204" spans="1:22" x14ac:dyDescent="0.2">
      <c r="A204" t="s">
        <v>522</v>
      </c>
      <c r="B204" t="s">
        <v>357</v>
      </c>
      <c r="C204" t="s">
        <v>396</v>
      </c>
      <c r="D204" t="s">
        <v>36</v>
      </c>
      <c r="E204" s="15" t="s">
        <v>443</v>
      </c>
      <c r="F204" t="s">
        <v>323</v>
      </c>
      <c r="G204" t="s">
        <v>30</v>
      </c>
      <c r="H204" t="s">
        <v>31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T204" t="s">
        <v>43</v>
      </c>
      <c r="U204" t="str">
        <f t="shared" si="11"/>
        <v/>
      </c>
      <c r="V204" t="str">
        <f t="shared" si="12"/>
        <v/>
      </c>
    </row>
    <row r="205" spans="1:22" x14ac:dyDescent="0.2">
      <c r="A205" t="s">
        <v>523</v>
      </c>
      <c r="B205" t="s">
        <v>357</v>
      </c>
      <c r="C205" t="s">
        <v>399</v>
      </c>
      <c r="D205" t="s">
        <v>143</v>
      </c>
      <c r="E205" s="15" t="s">
        <v>400</v>
      </c>
      <c r="F205" t="s">
        <v>323</v>
      </c>
      <c r="G205" t="s">
        <v>30</v>
      </c>
      <c r="H205" t="s">
        <v>31</v>
      </c>
      <c r="K205" t="s">
        <v>43</v>
      </c>
      <c r="L205" t="s">
        <v>43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43</v>
      </c>
      <c r="T205" t="s">
        <v>43</v>
      </c>
      <c r="U205" t="str">
        <f t="shared" si="11"/>
        <v/>
      </c>
      <c r="V205" t="str">
        <f t="shared" si="12"/>
        <v/>
      </c>
    </row>
    <row r="206" spans="1:22" x14ac:dyDescent="0.2">
      <c r="A206" t="s">
        <v>524</v>
      </c>
      <c r="B206" t="s">
        <v>354</v>
      </c>
      <c r="C206" t="s">
        <v>446</v>
      </c>
      <c r="D206" t="s">
        <v>357</v>
      </c>
      <c r="E206" s="15"/>
      <c r="F206" t="s">
        <v>323</v>
      </c>
      <c r="G206" t="s">
        <v>30</v>
      </c>
      <c r="H206" t="s">
        <v>31</v>
      </c>
      <c r="K206" t="s">
        <v>43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43</v>
      </c>
      <c r="T206" t="s">
        <v>43</v>
      </c>
      <c r="U206" t="str">
        <f t="shared" si="11"/>
        <v/>
      </c>
      <c r="V206" t="str">
        <f t="shared" si="12"/>
        <v/>
      </c>
    </row>
    <row r="207" spans="1:22" x14ac:dyDescent="0.2">
      <c r="A207" t="s">
        <v>525</v>
      </c>
      <c r="B207" t="s">
        <v>357</v>
      </c>
      <c r="C207" t="s">
        <v>26</v>
      </c>
      <c r="D207" t="s">
        <v>27</v>
      </c>
      <c r="E207" s="15" t="s">
        <v>360</v>
      </c>
      <c r="F207" t="s">
        <v>323</v>
      </c>
      <c r="G207" t="s">
        <v>30</v>
      </c>
      <c r="H207" t="s">
        <v>31</v>
      </c>
      <c r="J207" s="11"/>
      <c r="K207" t="s">
        <v>43</v>
      </c>
      <c r="L207" t="s">
        <v>43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43</v>
      </c>
      <c r="T207" t="s">
        <v>43</v>
      </c>
      <c r="U207" t="str">
        <f t="shared" si="11"/>
        <v/>
      </c>
      <c r="V207" t="str">
        <f t="shared" si="12"/>
        <v/>
      </c>
    </row>
    <row r="208" spans="1:22" x14ac:dyDescent="0.2">
      <c r="A208" t="s">
        <v>526</v>
      </c>
      <c r="B208" t="s">
        <v>357</v>
      </c>
      <c r="C208" t="s">
        <v>363</v>
      </c>
      <c r="D208" t="s">
        <v>364</v>
      </c>
      <c r="E208" s="15"/>
      <c r="F208" t="s">
        <v>38</v>
      </c>
      <c r="G208" t="s">
        <v>30</v>
      </c>
      <c r="H208" t="s">
        <v>31</v>
      </c>
      <c r="K208" t="s">
        <v>43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43</v>
      </c>
      <c r="T208" t="s">
        <v>43</v>
      </c>
      <c r="U208" t="str">
        <f t="shared" ref="U208:U271" si="14">IF(AND(COUNTIF($K208:$R208,"Ja")&gt;0,OR($I208="",AND($I208="UFDB",$J208=""))),"Ja","")</f>
        <v/>
      </c>
      <c r="V208" t="str">
        <f t="shared" ref="V208:V271" si="15">IF(AND(COUNTIF($K208:$R208,"Ja")=0,$I208&lt;&gt;""),"Ja","")</f>
        <v/>
      </c>
    </row>
    <row r="209" spans="1:22" x14ac:dyDescent="0.2">
      <c r="A209" t="s">
        <v>527</v>
      </c>
      <c r="B209" t="s">
        <v>364</v>
      </c>
      <c r="C209" t="s">
        <v>366</v>
      </c>
      <c r="D209" t="s">
        <v>367</v>
      </c>
      <c r="E209" s="15" t="s">
        <v>450</v>
      </c>
      <c r="F209" t="s">
        <v>323</v>
      </c>
      <c r="G209" t="s">
        <v>30</v>
      </c>
      <c r="H209" t="s">
        <v>31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43</v>
      </c>
      <c r="T209" t="s">
        <v>43</v>
      </c>
      <c r="U209" t="str">
        <f t="shared" si="14"/>
        <v/>
      </c>
      <c r="V209" t="str">
        <f t="shared" si="15"/>
        <v/>
      </c>
    </row>
    <row r="210" spans="1:22" x14ac:dyDescent="0.2">
      <c r="A210" t="s">
        <v>528</v>
      </c>
      <c r="B210" t="s">
        <v>364</v>
      </c>
      <c r="C210" t="s">
        <v>370</v>
      </c>
      <c r="D210" t="s">
        <v>225</v>
      </c>
      <c r="E210" s="15"/>
      <c r="F210" t="s">
        <v>323</v>
      </c>
      <c r="G210" t="s">
        <v>30</v>
      </c>
      <c r="H210" t="s">
        <v>31</v>
      </c>
      <c r="K210" t="s">
        <v>43</v>
      </c>
      <c r="L210" t="s">
        <v>43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43</v>
      </c>
      <c r="T210" t="s">
        <v>43</v>
      </c>
      <c r="U210" t="str">
        <f t="shared" si="14"/>
        <v/>
      </c>
      <c r="V210" t="str">
        <f t="shared" si="15"/>
        <v/>
      </c>
    </row>
    <row r="211" spans="1:22" x14ac:dyDescent="0.2">
      <c r="A211" t="s">
        <v>529</v>
      </c>
      <c r="B211" t="s">
        <v>225</v>
      </c>
      <c r="C211" t="s">
        <v>228</v>
      </c>
      <c r="D211" t="s">
        <v>229</v>
      </c>
      <c r="E211" s="15" t="s">
        <v>372</v>
      </c>
      <c r="F211" t="s">
        <v>323</v>
      </c>
      <c r="G211" t="s">
        <v>30</v>
      </c>
      <c r="H211" t="s">
        <v>31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T211" t="s">
        <v>43</v>
      </c>
      <c r="U211" t="str">
        <f t="shared" si="14"/>
        <v/>
      </c>
      <c r="V211" t="str">
        <f t="shared" si="15"/>
        <v/>
      </c>
    </row>
    <row r="212" spans="1:22" x14ac:dyDescent="0.2">
      <c r="A212" t="s">
        <v>530</v>
      </c>
      <c r="B212" t="s">
        <v>225</v>
      </c>
      <c r="C212" t="s">
        <v>233</v>
      </c>
      <c r="D212" t="s">
        <v>234</v>
      </c>
      <c r="E212" s="15" t="s">
        <v>374</v>
      </c>
      <c r="G212" t="s">
        <v>30</v>
      </c>
      <c r="H212" t="s">
        <v>31</v>
      </c>
      <c r="I212" t="str">
        <f>IF(J212&lt;&gt;"","UFDB","")</f>
        <v/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T212" t="s">
        <v>43</v>
      </c>
      <c r="U212" t="str">
        <f t="shared" si="14"/>
        <v/>
      </c>
      <c r="V212" t="str">
        <f t="shared" si="15"/>
        <v/>
      </c>
    </row>
    <row r="213" spans="1:22" x14ac:dyDescent="0.2">
      <c r="A213" t="s">
        <v>531</v>
      </c>
      <c r="B213" t="s">
        <v>364</v>
      </c>
      <c r="C213" t="s">
        <v>370</v>
      </c>
      <c r="D213" t="s">
        <v>225</v>
      </c>
      <c r="E213" s="15"/>
      <c r="G213" t="s">
        <v>139</v>
      </c>
      <c r="H213" t="s">
        <v>31</v>
      </c>
      <c r="I213" t="str">
        <f>IF(J213&lt;&gt;"","UFDB","")</f>
        <v/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T213" t="s">
        <v>43</v>
      </c>
      <c r="U213" t="str">
        <f t="shared" si="14"/>
        <v/>
      </c>
      <c r="V213" t="str">
        <f t="shared" si="15"/>
        <v/>
      </c>
    </row>
    <row r="214" spans="1:22" x14ac:dyDescent="0.2">
      <c r="A214" t="s">
        <v>532</v>
      </c>
      <c r="B214" t="s">
        <v>225</v>
      </c>
      <c r="C214" t="s">
        <v>228</v>
      </c>
      <c r="D214" t="s">
        <v>229</v>
      </c>
      <c r="E214" s="15" t="s">
        <v>456</v>
      </c>
      <c r="F214" t="s">
        <v>29</v>
      </c>
      <c r="G214" t="s">
        <v>30</v>
      </c>
      <c r="H214" t="s">
        <v>31</v>
      </c>
      <c r="I214" t="str">
        <f>IF(J214&lt;&gt;"","UFDB","")</f>
        <v>UFDB</v>
      </c>
      <c r="J214" t="s">
        <v>533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T214" t="s">
        <v>43</v>
      </c>
      <c r="U214" t="str">
        <f t="shared" si="14"/>
        <v/>
      </c>
      <c r="V214" t="str">
        <f t="shared" si="15"/>
        <v>Ja</v>
      </c>
    </row>
    <row r="215" spans="1:22" x14ac:dyDescent="0.2">
      <c r="A215" t="s">
        <v>534</v>
      </c>
      <c r="B215" t="s">
        <v>225</v>
      </c>
      <c r="C215" t="s">
        <v>233</v>
      </c>
      <c r="D215" t="s">
        <v>234</v>
      </c>
      <c r="E215" s="15" t="s">
        <v>380</v>
      </c>
      <c r="F215" t="s">
        <v>323</v>
      </c>
      <c r="G215" t="s">
        <v>30</v>
      </c>
      <c r="H215" t="s">
        <v>31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T215" t="s">
        <v>43</v>
      </c>
      <c r="U215" t="str">
        <f t="shared" si="14"/>
        <v/>
      </c>
      <c r="V215" t="str">
        <f t="shared" si="15"/>
        <v/>
      </c>
    </row>
    <row r="216" spans="1:22" x14ac:dyDescent="0.2">
      <c r="A216" t="s">
        <v>535</v>
      </c>
      <c r="B216" t="s">
        <v>364</v>
      </c>
      <c r="C216" t="s">
        <v>382</v>
      </c>
      <c r="D216" t="s">
        <v>143</v>
      </c>
      <c r="E216" s="15" t="s">
        <v>383</v>
      </c>
      <c r="F216" t="s">
        <v>323</v>
      </c>
      <c r="G216" t="s">
        <v>30</v>
      </c>
      <c r="H216" t="s">
        <v>31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T216" t="s">
        <v>43</v>
      </c>
      <c r="U216" t="str">
        <f t="shared" si="14"/>
        <v/>
      </c>
      <c r="V216" t="str">
        <f t="shared" si="15"/>
        <v/>
      </c>
    </row>
    <row r="217" spans="1:22" x14ac:dyDescent="0.2">
      <c r="A217" t="s">
        <v>536</v>
      </c>
      <c r="B217" t="s">
        <v>357</v>
      </c>
      <c r="C217" t="s">
        <v>385</v>
      </c>
      <c r="D217" t="s">
        <v>367</v>
      </c>
      <c r="E217" s="15" t="s">
        <v>386</v>
      </c>
      <c r="F217" t="s">
        <v>323</v>
      </c>
      <c r="G217" t="s">
        <v>30</v>
      </c>
      <c r="H217" t="s">
        <v>31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T217" t="s">
        <v>43</v>
      </c>
      <c r="U217" t="str">
        <f t="shared" si="14"/>
        <v/>
      </c>
      <c r="V217" t="str">
        <f t="shared" si="15"/>
        <v/>
      </c>
    </row>
    <row r="218" spans="1:22" x14ac:dyDescent="0.2">
      <c r="A218" t="s">
        <v>537</v>
      </c>
      <c r="B218" t="s">
        <v>357</v>
      </c>
      <c r="C218" t="s">
        <v>388</v>
      </c>
      <c r="D218" t="s">
        <v>367</v>
      </c>
      <c r="E218" s="15" t="s">
        <v>389</v>
      </c>
      <c r="F218" t="s">
        <v>323</v>
      </c>
      <c r="G218" t="s">
        <v>30</v>
      </c>
      <c r="H218" t="s">
        <v>31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T218" t="s">
        <v>43</v>
      </c>
      <c r="U218" t="str">
        <f t="shared" si="14"/>
        <v/>
      </c>
      <c r="V218" t="str">
        <f t="shared" si="15"/>
        <v/>
      </c>
    </row>
    <row r="219" spans="1:22" x14ac:dyDescent="0.2">
      <c r="A219" t="s">
        <v>538</v>
      </c>
      <c r="B219" t="s">
        <v>357</v>
      </c>
      <c r="C219" t="s">
        <v>392</v>
      </c>
      <c r="D219" t="s">
        <v>367</v>
      </c>
      <c r="E219" s="15" t="s">
        <v>393</v>
      </c>
      <c r="F219" t="s">
        <v>323</v>
      </c>
      <c r="G219" t="s">
        <v>30</v>
      </c>
      <c r="H219" t="s">
        <v>31</v>
      </c>
      <c r="J219" s="11"/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T219" t="s">
        <v>43</v>
      </c>
      <c r="U219" t="str">
        <f t="shared" si="14"/>
        <v/>
      </c>
      <c r="V219" t="str">
        <f t="shared" si="15"/>
        <v/>
      </c>
    </row>
    <row r="220" spans="1:22" x14ac:dyDescent="0.2">
      <c r="A220" t="s">
        <v>539</v>
      </c>
      <c r="B220" t="s">
        <v>357</v>
      </c>
      <c r="C220" t="s">
        <v>396</v>
      </c>
      <c r="D220" t="s">
        <v>36</v>
      </c>
      <c r="E220" s="15" t="s">
        <v>397</v>
      </c>
      <c r="F220" t="s">
        <v>38</v>
      </c>
      <c r="G220" t="s">
        <v>30</v>
      </c>
      <c r="H220" t="s">
        <v>31</v>
      </c>
      <c r="I220" t="s">
        <v>341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T220" t="s">
        <v>43</v>
      </c>
      <c r="U220" t="str">
        <f t="shared" si="14"/>
        <v/>
      </c>
      <c r="V220" t="str">
        <f t="shared" si="15"/>
        <v>Ja</v>
      </c>
    </row>
    <row r="221" spans="1:22" x14ac:dyDescent="0.2">
      <c r="A221" t="s">
        <v>540</v>
      </c>
      <c r="B221" t="s">
        <v>357</v>
      </c>
      <c r="C221" t="s">
        <v>399</v>
      </c>
      <c r="D221" t="s">
        <v>143</v>
      </c>
      <c r="E221" s="15" t="s">
        <v>400</v>
      </c>
      <c r="F221" t="s">
        <v>323</v>
      </c>
      <c r="G221" t="s">
        <v>30</v>
      </c>
      <c r="H221" t="s">
        <v>31</v>
      </c>
      <c r="I221" t="str">
        <f>IF(J221&lt;&gt;"","UFDB","")</f>
        <v/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T221" t="s">
        <v>43</v>
      </c>
      <c r="U221" t="str">
        <f t="shared" si="14"/>
        <v/>
      </c>
      <c r="V221" t="str">
        <f t="shared" si="15"/>
        <v/>
      </c>
    </row>
    <row r="222" spans="1:22" x14ac:dyDescent="0.2">
      <c r="A222" t="s">
        <v>541</v>
      </c>
      <c r="B222" t="s">
        <v>350</v>
      </c>
      <c r="C222" t="s">
        <v>542</v>
      </c>
      <c r="D222" t="s">
        <v>354</v>
      </c>
      <c r="E222" s="15"/>
      <c r="F222" t="s">
        <v>323</v>
      </c>
      <c r="G222" t="s">
        <v>30</v>
      </c>
      <c r="H222" t="s">
        <v>31</v>
      </c>
      <c r="I222" t="s">
        <v>347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T222" t="s">
        <v>43</v>
      </c>
      <c r="U222" t="str">
        <f t="shared" si="14"/>
        <v/>
      </c>
      <c r="V222" t="str">
        <f t="shared" si="15"/>
        <v>Ja</v>
      </c>
    </row>
    <row r="223" spans="1:22" x14ac:dyDescent="0.2">
      <c r="A223" t="s">
        <v>543</v>
      </c>
      <c r="B223" t="s">
        <v>354</v>
      </c>
      <c r="C223" t="s">
        <v>356</v>
      </c>
      <c r="D223" t="s">
        <v>357</v>
      </c>
      <c r="E223" s="15"/>
      <c r="F223" t="s">
        <v>323</v>
      </c>
      <c r="G223" t="s">
        <v>30</v>
      </c>
      <c r="H223" t="s">
        <v>31</v>
      </c>
      <c r="I223" t="s">
        <v>351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T223" t="s">
        <v>43</v>
      </c>
      <c r="U223" t="str">
        <f t="shared" si="14"/>
        <v/>
      </c>
      <c r="V223" t="str">
        <f t="shared" si="15"/>
        <v>Ja</v>
      </c>
    </row>
    <row r="224" spans="1:22" x14ac:dyDescent="0.2">
      <c r="A224" t="s">
        <v>544</v>
      </c>
      <c r="B224" t="s">
        <v>357</v>
      </c>
      <c r="C224" t="s">
        <v>26</v>
      </c>
      <c r="D224" t="s">
        <v>27</v>
      </c>
      <c r="E224" s="15" t="s">
        <v>360</v>
      </c>
      <c r="G224" t="s">
        <v>30</v>
      </c>
      <c r="H224" t="s">
        <v>31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T224" t="s">
        <v>43</v>
      </c>
      <c r="U224" t="str">
        <f t="shared" si="14"/>
        <v/>
      </c>
      <c r="V224" t="str">
        <f t="shared" si="15"/>
        <v/>
      </c>
    </row>
    <row r="225" spans="1:22" x14ac:dyDescent="0.2">
      <c r="A225" t="s">
        <v>545</v>
      </c>
      <c r="B225" t="s">
        <v>357</v>
      </c>
      <c r="C225" t="s">
        <v>363</v>
      </c>
      <c r="D225" t="s">
        <v>364</v>
      </c>
      <c r="E225" s="15"/>
      <c r="G225" t="s">
        <v>139</v>
      </c>
      <c r="H225" t="s">
        <v>31</v>
      </c>
      <c r="I225" t="str">
        <f t="shared" ref="I225:I231" si="16">IF(J225&lt;&gt;"","UFDB","")</f>
        <v>UFDB</v>
      </c>
      <c r="J225" t="s">
        <v>546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T225" t="s">
        <v>43</v>
      </c>
      <c r="U225" t="str">
        <f t="shared" si="14"/>
        <v/>
      </c>
      <c r="V225" t="str">
        <f t="shared" si="15"/>
        <v>Ja</v>
      </c>
    </row>
    <row r="226" spans="1:22" x14ac:dyDescent="0.2">
      <c r="A226" t="s">
        <v>547</v>
      </c>
      <c r="B226" t="s">
        <v>364</v>
      </c>
      <c r="C226" t="s">
        <v>366</v>
      </c>
      <c r="D226" t="s">
        <v>367</v>
      </c>
      <c r="E226" s="15" t="s">
        <v>548</v>
      </c>
      <c r="F226" t="s">
        <v>29</v>
      </c>
      <c r="G226" t="s">
        <v>30</v>
      </c>
      <c r="H226" t="s">
        <v>31</v>
      </c>
      <c r="I226" t="str">
        <f t="shared" si="16"/>
        <v>UFDB</v>
      </c>
      <c r="J226" t="s">
        <v>549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T226" t="s">
        <v>43</v>
      </c>
      <c r="U226" t="str">
        <f t="shared" si="14"/>
        <v/>
      </c>
      <c r="V226" t="str">
        <f t="shared" si="15"/>
        <v>Ja</v>
      </c>
    </row>
    <row r="227" spans="1:22" x14ac:dyDescent="0.2">
      <c r="A227" t="s">
        <v>550</v>
      </c>
      <c r="B227" t="s">
        <v>364</v>
      </c>
      <c r="C227" t="s">
        <v>370</v>
      </c>
      <c r="D227" t="s">
        <v>225</v>
      </c>
      <c r="E227" s="15"/>
      <c r="F227" t="s">
        <v>323</v>
      </c>
      <c r="G227" t="s">
        <v>30</v>
      </c>
      <c r="H227" t="s">
        <v>31</v>
      </c>
      <c r="I227" t="str">
        <f t="shared" si="16"/>
        <v>UFDB</v>
      </c>
      <c r="J227" t="s">
        <v>551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T227" t="s">
        <v>43</v>
      </c>
      <c r="U227" t="str">
        <f t="shared" si="14"/>
        <v/>
      </c>
      <c r="V227" t="str">
        <f t="shared" si="15"/>
        <v>Ja</v>
      </c>
    </row>
    <row r="228" spans="1:22" x14ac:dyDescent="0.2">
      <c r="A228" t="s">
        <v>552</v>
      </c>
      <c r="B228" t="s">
        <v>225</v>
      </c>
      <c r="C228" t="s">
        <v>228</v>
      </c>
      <c r="D228" t="s">
        <v>229</v>
      </c>
      <c r="E228" s="15" t="s">
        <v>553</v>
      </c>
      <c r="F228" t="s">
        <v>323</v>
      </c>
      <c r="G228" t="s">
        <v>30</v>
      </c>
      <c r="H228" t="s">
        <v>31</v>
      </c>
      <c r="I228" t="str">
        <f t="shared" si="16"/>
        <v/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T228" t="s">
        <v>43</v>
      </c>
      <c r="U228" t="str">
        <f t="shared" si="14"/>
        <v/>
      </c>
      <c r="V228" t="str">
        <f t="shared" si="15"/>
        <v/>
      </c>
    </row>
    <row r="229" spans="1:22" x14ac:dyDescent="0.2">
      <c r="A229" t="s">
        <v>554</v>
      </c>
      <c r="B229" t="s">
        <v>225</v>
      </c>
      <c r="C229" t="s">
        <v>233</v>
      </c>
      <c r="D229" t="s">
        <v>234</v>
      </c>
      <c r="E229" s="15" t="s">
        <v>374</v>
      </c>
      <c r="F229" t="s">
        <v>323</v>
      </c>
      <c r="G229" t="s">
        <v>30</v>
      </c>
      <c r="H229" t="s">
        <v>31</v>
      </c>
      <c r="I229" t="str">
        <f t="shared" si="16"/>
        <v/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T229" t="s">
        <v>43</v>
      </c>
      <c r="U229" t="str">
        <f t="shared" si="14"/>
        <v/>
      </c>
      <c r="V229" t="str">
        <f t="shared" si="15"/>
        <v/>
      </c>
    </row>
    <row r="230" spans="1:22" x14ac:dyDescent="0.2">
      <c r="A230" t="s">
        <v>555</v>
      </c>
      <c r="B230" t="s">
        <v>364</v>
      </c>
      <c r="C230" t="s">
        <v>370</v>
      </c>
      <c r="D230" t="s">
        <v>225</v>
      </c>
      <c r="E230" s="15"/>
      <c r="F230" t="s">
        <v>323</v>
      </c>
      <c r="G230" t="s">
        <v>30</v>
      </c>
      <c r="H230" t="s">
        <v>31</v>
      </c>
      <c r="I230" t="str">
        <f t="shared" si="16"/>
        <v/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T230" t="s">
        <v>43</v>
      </c>
      <c r="U230" t="str">
        <f t="shared" si="14"/>
        <v/>
      </c>
      <c r="V230" t="str">
        <f t="shared" si="15"/>
        <v/>
      </c>
    </row>
    <row r="231" spans="1:22" x14ac:dyDescent="0.2">
      <c r="A231" t="s">
        <v>556</v>
      </c>
      <c r="B231" t="s">
        <v>225</v>
      </c>
      <c r="C231" t="s">
        <v>228</v>
      </c>
      <c r="D231" t="s">
        <v>229</v>
      </c>
      <c r="E231" s="15" t="s">
        <v>557</v>
      </c>
      <c r="F231" t="s">
        <v>323</v>
      </c>
      <c r="G231" t="s">
        <v>30</v>
      </c>
      <c r="H231" t="s">
        <v>31</v>
      </c>
      <c r="I231" t="str">
        <f t="shared" si="16"/>
        <v/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T231" t="s">
        <v>43</v>
      </c>
      <c r="U231" t="str">
        <f t="shared" si="14"/>
        <v/>
      </c>
      <c r="V231" t="str">
        <f t="shared" si="15"/>
        <v/>
      </c>
    </row>
    <row r="232" spans="1:22" x14ac:dyDescent="0.2">
      <c r="A232" t="s">
        <v>558</v>
      </c>
      <c r="B232" t="s">
        <v>225</v>
      </c>
      <c r="C232" t="s">
        <v>233</v>
      </c>
      <c r="D232" t="s">
        <v>234</v>
      </c>
      <c r="E232" s="15" t="s">
        <v>380</v>
      </c>
      <c r="F232" t="s">
        <v>38</v>
      </c>
      <c r="G232" t="s">
        <v>30</v>
      </c>
      <c r="H232" t="s">
        <v>31</v>
      </c>
      <c r="I232" t="s">
        <v>341</v>
      </c>
      <c r="K232" t="s">
        <v>43</v>
      </c>
      <c r="L232" t="s">
        <v>43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43</v>
      </c>
      <c r="T232" t="s">
        <v>43</v>
      </c>
      <c r="U232" t="str">
        <f t="shared" si="14"/>
        <v/>
      </c>
      <c r="V232" t="str">
        <f t="shared" si="15"/>
        <v>Ja</v>
      </c>
    </row>
    <row r="233" spans="1:22" x14ac:dyDescent="0.2">
      <c r="A233" t="s">
        <v>559</v>
      </c>
      <c r="B233" t="s">
        <v>364</v>
      </c>
      <c r="C233" t="s">
        <v>382</v>
      </c>
      <c r="D233" t="s">
        <v>143</v>
      </c>
      <c r="E233" s="15" t="s">
        <v>383</v>
      </c>
      <c r="F233" t="s">
        <v>323</v>
      </c>
      <c r="G233" t="s">
        <v>30</v>
      </c>
      <c r="H233" t="s">
        <v>31</v>
      </c>
      <c r="K233" t="s">
        <v>43</v>
      </c>
      <c r="L233" t="s">
        <v>43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43</v>
      </c>
      <c r="T233" t="s">
        <v>43</v>
      </c>
      <c r="U233" t="str">
        <f t="shared" si="14"/>
        <v/>
      </c>
      <c r="V233" t="str">
        <f t="shared" si="15"/>
        <v/>
      </c>
    </row>
    <row r="234" spans="1:22" x14ac:dyDescent="0.2">
      <c r="A234" t="s">
        <v>560</v>
      </c>
      <c r="B234" t="s">
        <v>357</v>
      </c>
      <c r="C234" t="s">
        <v>385</v>
      </c>
      <c r="D234" t="s">
        <v>367</v>
      </c>
      <c r="E234" s="15" t="s">
        <v>386</v>
      </c>
      <c r="F234" t="s">
        <v>323</v>
      </c>
      <c r="G234" t="s">
        <v>30</v>
      </c>
      <c r="H234" t="s">
        <v>31</v>
      </c>
      <c r="I234" t="s">
        <v>347</v>
      </c>
      <c r="K234" t="s">
        <v>43</v>
      </c>
      <c r="L234" t="s">
        <v>43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43</v>
      </c>
      <c r="T234" t="s">
        <v>43</v>
      </c>
      <c r="U234" t="str">
        <f t="shared" si="14"/>
        <v/>
      </c>
      <c r="V234" t="str">
        <f t="shared" si="15"/>
        <v>Ja</v>
      </c>
    </row>
    <row r="235" spans="1:22" x14ac:dyDescent="0.2">
      <c r="A235" t="s">
        <v>561</v>
      </c>
      <c r="B235" t="s">
        <v>357</v>
      </c>
      <c r="C235" t="s">
        <v>388</v>
      </c>
      <c r="D235" t="s">
        <v>367</v>
      </c>
      <c r="E235" s="15" t="s">
        <v>389</v>
      </c>
      <c r="F235" t="s">
        <v>323</v>
      </c>
      <c r="G235" t="s">
        <v>30</v>
      </c>
      <c r="H235" t="s">
        <v>31</v>
      </c>
      <c r="I235" t="s">
        <v>351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T235" t="s">
        <v>43</v>
      </c>
      <c r="U235" t="str">
        <f t="shared" si="14"/>
        <v/>
      </c>
      <c r="V235" t="str">
        <f t="shared" si="15"/>
        <v>Ja</v>
      </c>
    </row>
    <row r="236" spans="1:22" x14ac:dyDescent="0.2">
      <c r="A236" t="s">
        <v>562</v>
      </c>
      <c r="B236" t="s">
        <v>357</v>
      </c>
      <c r="C236" t="s">
        <v>392</v>
      </c>
      <c r="D236" t="s">
        <v>367</v>
      </c>
      <c r="E236" s="15" t="s">
        <v>393</v>
      </c>
      <c r="G236" t="s">
        <v>30</v>
      </c>
      <c r="H236" t="s">
        <v>31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T236" t="s">
        <v>43</v>
      </c>
      <c r="U236" t="str">
        <f t="shared" si="14"/>
        <v/>
      </c>
      <c r="V236" t="str">
        <f t="shared" si="15"/>
        <v/>
      </c>
    </row>
    <row r="237" spans="1:22" x14ac:dyDescent="0.2">
      <c r="A237" t="s">
        <v>563</v>
      </c>
      <c r="B237" t="s">
        <v>357</v>
      </c>
      <c r="C237" t="s">
        <v>396</v>
      </c>
      <c r="D237" t="s">
        <v>36</v>
      </c>
      <c r="E237" s="15" t="s">
        <v>397</v>
      </c>
      <c r="G237" t="s">
        <v>139</v>
      </c>
      <c r="H237" t="s">
        <v>31</v>
      </c>
      <c r="I237" t="str">
        <f>IF(J237&lt;&gt;"","UFDB","")</f>
        <v>UFDB</v>
      </c>
      <c r="J237" t="s">
        <v>564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T237" t="s">
        <v>43</v>
      </c>
      <c r="U237" t="str">
        <f t="shared" si="14"/>
        <v/>
      </c>
      <c r="V237" t="str">
        <f t="shared" si="15"/>
        <v>Ja</v>
      </c>
    </row>
    <row r="238" spans="1:22" x14ac:dyDescent="0.2">
      <c r="A238" t="s">
        <v>565</v>
      </c>
      <c r="B238" t="s">
        <v>357</v>
      </c>
      <c r="C238" t="s">
        <v>399</v>
      </c>
      <c r="D238" t="s">
        <v>143</v>
      </c>
      <c r="E238" s="15" t="s">
        <v>400</v>
      </c>
      <c r="F238" t="s">
        <v>29</v>
      </c>
      <c r="G238" t="s">
        <v>30</v>
      </c>
      <c r="H238" t="s">
        <v>31</v>
      </c>
      <c r="I238" t="str">
        <f>IF(J238&lt;&gt;"","UFDB","")</f>
        <v>UFDB</v>
      </c>
      <c r="J238" t="s">
        <v>566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T238" t="s">
        <v>43</v>
      </c>
      <c r="U238" t="str">
        <f t="shared" si="14"/>
        <v/>
      </c>
      <c r="V238" t="str">
        <f t="shared" si="15"/>
        <v>Ja</v>
      </c>
    </row>
    <row r="239" spans="1:22" x14ac:dyDescent="0.2">
      <c r="A239" t="s">
        <v>567</v>
      </c>
      <c r="B239" t="s">
        <v>354</v>
      </c>
      <c r="C239" t="s">
        <v>402</v>
      </c>
      <c r="D239" t="s">
        <v>357</v>
      </c>
      <c r="E239" s="15"/>
      <c r="F239" t="s">
        <v>323</v>
      </c>
      <c r="G239" t="s">
        <v>30</v>
      </c>
      <c r="H239" t="s">
        <v>31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T239" t="s">
        <v>43</v>
      </c>
      <c r="U239" t="str">
        <f t="shared" si="14"/>
        <v/>
      </c>
      <c r="V239" t="str">
        <f t="shared" si="15"/>
        <v/>
      </c>
    </row>
    <row r="240" spans="1:22" x14ac:dyDescent="0.2">
      <c r="A240" t="s">
        <v>568</v>
      </c>
      <c r="B240" t="s">
        <v>357</v>
      </c>
      <c r="C240" t="s">
        <v>26</v>
      </c>
      <c r="D240" t="s">
        <v>27</v>
      </c>
      <c r="E240" s="15" t="s">
        <v>360</v>
      </c>
      <c r="F240" t="s">
        <v>323</v>
      </c>
      <c r="G240" t="s">
        <v>30</v>
      </c>
      <c r="H240" t="s">
        <v>31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T240" t="s">
        <v>43</v>
      </c>
      <c r="U240" t="str">
        <f t="shared" si="14"/>
        <v/>
      </c>
      <c r="V240" t="str">
        <f t="shared" si="15"/>
        <v/>
      </c>
    </row>
    <row r="241" spans="1:22" x14ac:dyDescent="0.2">
      <c r="A241" t="s">
        <v>569</v>
      </c>
      <c r="B241" t="s">
        <v>357</v>
      </c>
      <c r="C241" t="s">
        <v>363</v>
      </c>
      <c r="D241" t="s">
        <v>364</v>
      </c>
      <c r="E241" s="15"/>
      <c r="F241" t="s">
        <v>323</v>
      </c>
      <c r="G241" t="s">
        <v>30</v>
      </c>
      <c r="H241" t="s">
        <v>31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T241" t="s">
        <v>43</v>
      </c>
      <c r="U241" t="str">
        <f t="shared" si="14"/>
        <v/>
      </c>
      <c r="V241" t="str">
        <f t="shared" si="15"/>
        <v/>
      </c>
    </row>
    <row r="242" spans="1:22" x14ac:dyDescent="0.2">
      <c r="A242" t="s">
        <v>570</v>
      </c>
      <c r="B242" t="s">
        <v>364</v>
      </c>
      <c r="C242" t="s">
        <v>366</v>
      </c>
      <c r="D242" t="s">
        <v>367</v>
      </c>
      <c r="E242" s="15" t="s">
        <v>571</v>
      </c>
      <c r="F242" t="s">
        <v>323</v>
      </c>
      <c r="G242" t="s">
        <v>30</v>
      </c>
      <c r="H242" t="s">
        <v>31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T242" t="s">
        <v>43</v>
      </c>
      <c r="U242" t="str">
        <f t="shared" si="14"/>
        <v/>
      </c>
      <c r="V242" t="str">
        <f t="shared" si="15"/>
        <v/>
      </c>
    </row>
    <row r="243" spans="1:22" x14ac:dyDescent="0.2">
      <c r="A243" t="s">
        <v>572</v>
      </c>
      <c r="B243" t="s">
        <v>364</v>
      </c>
      <c r="C243" t="s">
        <v>370</v>
      </c>
      <c r="D243" t="s">
        <v>225</v>
      </c>
      <c r="E243" s="15"/>
      <c r="F243" t="s">
        <v>323</v>
      </c>
      <c r="G243" t="s">
        <v>30</v>
      </c>
      <c r="H243" t="s">
        <v>31</v>
      </c>
      <c r="J243" s="11"/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T243" t="s">
        <v>43</v>
      </c>
      <c r="U243" t="str">
        <f t="shared" si="14"/>
        <v/>
      </c>
      <c r="V243" t="str">
        <f t="shared" si="15"/>
        <v/>
      </c>
    </row>
    <row r="244" spans="1:22" x14ac:dyDescent="0.2">
      <c r="A244" t="s">
        <v>573</v>
      </c>
      <c r="B244" t="s">
        <v>225</v>
      </c>
      <c r="C244" t="s">
        <v>228</v>
      </c>
      <c r="D244" t="s">
        <v>229</v>
      </c>
      <c r="E244" s="15" t="s">
        <v>553</v>
      </c>
      <c r="F244" t="s">
        <v>38</v>
      </c>
      <c r="G244" t="s">
        <v>30</v>
      </c>
      <c r="H244" t="s">
        <v>31</v>
      </c>
      <c r="I244" t="s">
        <v>341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T244" t="s">
        <v>43</v>
      </c>
      <c r="U244" t="str">
        <f t="shared" si="14"/>
        <v/>
      </c>
      <c r="V244" t="str">
        <f t="shared" si="15"/>
        <v>Ja</v>
      </c>
    </row>
    <row r="245" spans="1:22" x14ac:dyDescent="0.2">
      <c r="A245" t="s">
        <v>574</v>
      </c>
      <c r="B245" t="s">
        <v>225</v>
      </c>
      <c r="C245" t="s">
        <v>233</v>
      </c>
      <c r="D245" t="s">
        <v>234</v>
      </c>
      <c r="E245" s="15" t="s">
        <v>374</v>
      </c>
      <c r="F245" t="s">
        <v>323</v>
      </c>
      <c r="G245" t="s">
        <v>30</v>
      </c>
      <c r="H245" t="s">
        <v>31</v>
      </c>
      <c r="I245" t="str">
        <f>IF(J245&lt;&gt;"","UFDB","")</f>
        <v>UFDB</v>
      </c>
      <c r="J245" t="s">
        <v>575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T245" t="s">
        <v>43</v>
      </c>
      <c r="U245" t="str">
        <f t="shared" si="14"/>
        <v/>
      </c>
      <c r="V245" t="str">
        <f t="shared" si="15"/>
        <v>Ja</v>
      </c>
    </row>
    <row r="246" spans="1:22" x14ac:dyDescent="0.2">
      <c r="A246" t="s">
        <v>576</v>
      </c>
      <c r="B246" t="s">
        <v>364</v>
      </c>
      <c r="C246" t="s">
        <v>370</v>
      </c>
      <c r="D246" t="s">
        <v>225</v>
      </c>
      <c r="E246" s="15"/>
      <c r="F246" t="s">
        <v>323</v>
      </c>
      <c r="G246" t="s">
        <v>30</v>
      </c>
      <c r="H246" t="s">
        <v>31</v>
      </c>
      <c r="I246" t="s">
        <v>347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T246" t="s">
        <v>43</v>
      </c>
      <c r="U246" t="str">
        <f t="shared" si="14"/>
        <v/>
      </c>
      <c r="V246" t="str">
        <f t="shared" si="15"/>
        <v>Ja</v>
      </c>
    </row>
    <row r="247" spans="1:22" x14ac:dyDescent="0.2">
      <c r="A247" t="s">
        <v>577</v>
      </c>
      <c r="B247" t="s">
        <v>225</v>
      </c>
      <c r="C247" t="s">
        <v>228</v>
      </c>
      <c r="D247" t="s">
        <v>229</v>
      </c>
      <c r="E247" s="15" t="s">
        <v>578</v>
      </c>
      <c r="F247" t="s">
        <v>323</v>
      </c>
      <c r="G247" t="s">
        <v>30</v>
      </c>
      <c r="H247" t="s">
        <v>31</v>
      </c>
      <c r="I247" t="s">
        <v>351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T247" t="s">
        <v>43</v>
      </c>
      <c r="U247" t="str">
        <f t="shared" si="14"/>
        <v/>
      </c>
      <c r="V247" t="str">
        <f t="shared" si="15"/>
        <v>Ja</v>
      </c>
    </row>
    <row r="248" spans="1:22" x14ac:dyDescent="0.2">
      <c r="A248" t="s">
        <v>579</v>
      </c>
      <c r="B248" t="s">
        <v>225</v>
      </c>
      <c r="C248" t="s">
        <v>233</v>
      </c>
      <c r="D248" t="s">
        <v>234</v>
      </c>
      <c r="E248" s="15" t="s">
        <v>380</v>
      </c>
      <c r="G248" t="s">
        <v>30</v>
      </c>
      <c r="H248" t="s">
        <v>31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T248" t="s">
        <v>43</v>
      </c>
      <c r="U248" t="str">
        <f t="shared" si="14"/>
        <v/>
      </c>
      <c r="V248" t="str">
        <f t="shared" si="15"/>
        <v/>
      </c>
    </row>
    <row r="249" spans="1:22" x14ac:dyDescent="0.2">
      <c r="A249" t="s">
        <v>580</v>
      </c>
      <c r="B249" t="s">
        <v>364</v>
      </c>
      <c r="C249" t="s">
        <v>382</v>
      </c>
      <c r="D249" t="s">
        <v>143</v>
      </c>
      <c r="E249" s="15" t="s">
        <v>418</v>
      </c>
      <c r="G249" t="s">
        <v>139</v>
      </c>
      <c r="H249" t="s">
        <v>31</v>
      </c>
      <c r="I249" t="str">
        <f>IF(J249&lt;&gt;"","UFDB","")</f>
        <v>UFDB</v>
      </c>
      <c r="J249" t="s">
        <v>581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T249" t="s">
        <v>43</v>
      </c>
      <c r="U249" t="str">
        <f t="shared" si="14"/>
        <v/>
      </c>
      <c r="V249" t="str">
        <f t="shared" si="15"/>
        <v>Ja</v>
      </c>
    </row>
    <row r="250" spans="1:22" x14ac:dyDescent="0.2">
      <c r="A250" t="s">
        <v>582</v>
      </c>
      <c r="B250" t="s">
        <v>357</v>
      </c>
      <c r="C250" t="s">
        <v>385</v>
      </c>
      <c r="D250" t="s">
        <v>367</v>
      </c>
      <c r="E250" s="15" t="s">
        <v>386</v>
      </c>
      <c r="F250" t="s">
        <v>29</v>
      </c>
      <c r="G250" t="s">
        <v>30</v>
      </c>
      <c r="H250" t="s">
        <v>31</v>
      </c>
      <c r="I250" t="str">
        <f>IF(J250&lt;&gt;"","UFDB","")</f>
        <v/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T250" t="s">
        <v>43</v>
      </c>
      <c r="U250" t="str">
        <f t="shared" si="14"/>
        <v/>
      </c>
      <c r="V250" t="str">
        <f t="shared" si="15"/>
        <v/>
      </c>
    </row>
    <row r="251" spans="1:22" x14ac:dyDescent="0.2">
      <c r="A251" t="s">
        <v>583</v>
      </c>
      <c r="B251" t="s">
        <v>357</v>
      </c>
      <c r="C251" t="s">
        <v>388</v>
      </c>
      <c r="D251" t="s">
        <v>367</v>
      </c>
      <c r="E251" s="15" t="s">
        <v>389</v>
      </c>
      <c r="F251" t="s">
        <v>323</v>
      </c>
      <c r="G251" t="s">
        <v>30</v>
      </c>
      <c r="H251" t="s">
        <v>31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43</v>
      </c>
      <c r="T251" t="s">
        <v>43</v>
      </c>
      <c r="U251" t="str">
        <f t="shared" si="14"/>
        <v/>
      </c>
      <c r="V251" t="str">
        <f t="shared" si="15"/>
        <v/>
      </c>
    </row>
    <row r="252" spans="1:22" x14ac:dyDescent="0.2">
      <c r="A252" t="s">
        <v>584</v>
      </c>
      <c r="B252" t="s">
        <v>357</v>
      </c>
      <c r="C252" t="s">
        <v>392</v>
      </c>
      <c r="D252" t="s">
        <v>367</v>
      </c>
      <c r="E252" s="15" t="s">
        <v>393</v>
      </c>
      <c r="F252" t="s">
        <v>323</v>
      </c>
      <c r="G252" t="s">
        <v>30</v>
      </c>
      <c r="H252" t="s">
        <v>31</v>
      </c>
      <c r="K252" t="s">
        <v>43</v>
      </c>
      <c r="L252" t="s">
        <v>43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43</v>
      </c>
      <c r="T252" t="s">
        <v>43</v>
      </c>
      <c r="U252" t="str">
        <f t="shared" si="14"/>
        <v/>
      </c>
      <c r="V252" t="str">
        <f t="shared" si="15"/>
        <v/>
      </c>
    </row>
    <row r="253" spans="1:22" x14ac:dyDescent="0.2">
      <c r="A253" t="s">
        <v>585</v>
      </c>
      <c r="B253" t="s">
        <v>357</v>
      </c>
      <c r="C253" t="s">
        <v>396</v>
      </c>
      <c r="D253" t="s">
        <v>36</v>
      </c>
      <c r="E253" s="15" t="s">
        <v>397</v>
      </c>
      <c r="F253" t="s">
        <v>323</v>
      </c>
      <c r="G253" t="s">
        <v>30</v>
      </c>
      <c r="H253" t="s">
        <v>31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T253" t="s">
        <v>43</v>
      </c>
      <c r="U253" t="str">
        <f t="shared" si="14"/>
        <v/>
      </c>
      <c r="V253" t="str">
        <f t="shared" si="15"/>
        <v/>
      </c>
    </row>
    <row r="254" spans="1:22" x14ac:dyDescent="0.2">
      <c r="A254" t="s">
        <v>586</v>
      </c>
      <c r="B254" t="s">
        <v>357</v>
      </c>
      <c r="C254" t="s">
        <v>399</v>
      </c>
      <c r="D254" t="s">
        <v>143</v>
      </c>
      <c r="E254" s="15" t="s">
        <v>400</v>
      </c>
      <c r="F254" t="s">
        <v>323</v>
      </c>
      <c r="G254" t="s">
        <v>30</v>
      </c>
      <c r="H254" t="s">
        <v>31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T254" t="s">
        <v>43</v>
      </c>
      <c r="U254" t="str">
        <f t="shared" si="14"/>
        <v/>
      </c>
      <c r="V254" t="str">
        <f t="shared" si="15"/>
        <v/>
      </c>
    </row>
    <row r="255" spans="1:22" x14ac:dyDescent="0.2">
      <c r="A255" t="s">
        <v>587</v>
      </c>
      <c r="B255" t="s">
        <v>354</v>
      </c>
      <c r="C255" t="s">
        <v>425</v>
      </c>
      <c r="D255" t="s">
        <v>357</v>
      </c>
      <c r="E255" s="15"/>
      <c r="F255" t="s">
        <v>323</v>
      </c>
      <c r="G255" t="s">
        <v>30</v>
      </c>
      <c r="H255" t="s">
        <v>31</v>
      </c>
      <c r="J255" s="11"/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T255" t="s">
        <v>43</v>
      </c>
      <c r="U255" t="str">
        <f t="shared" si="14"/>
        <v/>
      </c>
      <c r="V255" t="str">
        <f t="shared" si="15"/>
        <v/>
      </c>
    </row>
    <row r="256" spans="1:22" x14ac:dyDescent="0.2">
      <c r="A256" t="s">
        <v>588</v>
      </c>
      <c r="B256" t="s">
        <v>357</v>
      </c>
      <c r="C256" t="s">
        <v>26</v>
      </c>
      <c r="D256" t="s">
        <v>27</v>
      </c>
      <c r="E256" s="15" t="s">
        <v>360</v>
      </c>
      <c r="F256" t="s">
        <v>38</v>
      </c>
      <c r="G256" t="s">
        <v>30</v>
      </c>
      <c r="H256" t="s">
        <v>31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T256" t="s">
        <v>43</v>
      </c>
      <c r="U256" t="str">
        <f t="shared" si="14"/>
        <v/>
      </c>
      <c r="V256" t="str">
        <f t="shared" si="15"/>
        <v/>
      </c>
    </row>
    <row r="257" spans="1:22" x14ac:dyDescent="0.2">
      <c r="A257" t="s">
        <v>589</v>
      </c>
      <c r="B257" t="s">
        <v>357</v>
      </c>
      <c r="C257" t="s">
        <v>363</v>
      </c>
      <c r="D257" t="s">
        <v>364</v>
      </c>
      <c r="E257" s="15"/>
      <c r="F257" t="s">
        <v>323</v>
      </c>
      <c r="G257" t="s">
        <v>30</v>
      </c>
      <c r="H257" t="s">
        <v>31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T257" t="s">
        <v>43</v>
      </c>
      <c r="U257" t="str">
        <f t="shared" si="14"/>
        <v/>
      </c>
      <c r="V257" t="str">
        <f t="shared" si="15"/>
        <v/>
      </c>
    </row>
    <row r="258" spans="1:22" x14ac:dyDescent="0.2">
      <c r="A258" t="s">
        <v>590</v>
      </c>
      <c r="B258" t="s">
        <v>364</v>
      </c>
      <c r="C258" t="s">
        <v>366</v>
      </c>
      <c r="D258" t="s">
        <v>367</v>
      </c>
      <c r="E258" s="15" t="s">
        <v>548</v>
      </c>
      <c r="F258" t="s">
        <v>323</v>
      </c>
      <c r="G258" t="s">
        <v>30</v>
      </c>
      <c r="H258" t="s">
        <v>31</v>
      </c>
      <c r="K258" t="s">
        <v>43</v>
      </c>
      <c r="L258" t="s">
        <v>43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T258" t="s">
        <v>43</v>
      </c>
      <c r="U258" t="str">
        <f t="shared" si="14"/>
        <v/>
      </c>
      <c r="V258" t="str">
        <f t="shared" si="15"/>
        <v/>
      </c>
    </row>
    <row r="259" spans="1:22" x14ac:dyDescent="0.2">
      <c r="A259" t="s">
        <v>591</v>
      </c>
      <c r="B259" t="s">
        <v>364</v>
      </c>
      <c r="C259" t="s">
        <v>370</v>
      </c>
      <c r="D259" t="s">
        <v>225</v>
      </c>
      <c r="E259" s="15"/>
      <c r="F259" t="s">
        <v>323</v>
      </c>
      <c r="G259" t="s">
        <v>30</v>
      </c>
      <c r="H259" t="s">
        <v>31</v>
      </c>
      <c r="K259" t="s">
        <v>43</v>
      </c>
      <c r="L259" t="s">
        <v>43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T259" t="s">
        <v>43</v>
      </c>
      <c r="U259" t="str">
        <f t="shared" si="14"/>
        <v/>
      </c>
      <c r="V259" t="str">
        <f t="shared" si="15"/>
        <v/>
      </c>
    </row>
    <row r="260" spans="1:22" x14ac:dyDescent="0.2">
      <c r="A260" t="s">
        <v>592</v>
      </c>
      <c r="B260" t="s">
        <v>225</v>
      </c>
      <c r="C260" t="s">
        <v>228</v>
      </c>
      <c r="D260" t="s">
        <v>229</v>
      </c>
      <c r="E260" s="15" t="s">
        <v>553</v>
      </c>
      <c r="G260" t="s">
        <v>30</v>
      </c>
      <c r="H260" t="s">
        <v>31</v>
      </c>
      <c r="I260" t="str">
        <f>IF(J260&lt;&gt;"","UFDB","")</f>
        <v/>
      </c>
      <c r="K260" t="s">
        <v>43</v>
      </c>
      <c r="L260" t="s">
        <v>43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43</v>
      </c>
      <c r="T260" t="s">
        <v>43</v>
      </c>
      <c r="U260" t="str">
        <f t="shared" si="14"/>
        <v/>
      </c>
      <c r="V260" t="str">
        <f t="shared" si="15"/>
        <v/>
      </c>
    </row>
    <row r="261" spans="1:22" x14ac:dyDescent="0.2">
      <c r="A261" t="s">
        <v>593</v>
      </c>
      <c r="B261" t="s">
        <v>225</v>
      </c>
      <c r="C261" t="s">
        <v>233</v>
      </c>
      <c r="D261" t="s">
        <v>234</v>
      </c>
      <c r="E261" s="15" t="s">
        <v>374</v>
      </c>
      <c r="G261" t="s">
        <v>139</v>
      </c>
      <c r="H261" t="s">
        <v>31</v>
      </c>
      <c r="I261" t="str">
        <f>IF(J261&lt;&gt;"","UFDB","")</f>
        <v/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43</v>
      </c>
      <c r="T261" t="s">
        <v>43</v>
      </c>
      <c r="U261" t="str">
        <f t="shared" si="14"/>
        <v/>
      </c>
      <c r="V261" t="str">
        <f t="shared" si="15"/>
        <v/>
      </c>
    </row>
    <row r="262" spans="1:22" x14ac:dyDescent="0.2">
      <c r="A262" t="s">
        <v>594</v>
      </c>
      <c r="B262" t="s">
        <v>364</v>
      </c>
      <c r="C262" t="s">
        <v>370</v>
      </c>
      <c r="D262" t="s">
        <v>225</v>
      </c>
      <c r="E262" s="15"/>
      <c r="F262" t="s">
        <v>29</v>
      </c>
      <c r="G262" t="s">
        <v>30</v>
      </c>
      <c r="H262" t="s">
        <v>31</v>
      </c>
      <c r="I262" t="str">
        <f>IF(J262&lt;&gt;"","UFDB","")</f>
        <v>UFDB</v>
      </c>
      <c r="J262" t="s">
        <v>595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43</v>
      </c>
      <c r="T262" t="s">
        <v>43</v>
      </c>
      <c r="U262" t="str">
        <f t="shared" si="14"/>
        <v/>
      </c>
      <c r="V262" t="str">
        <f t="shared" si="15"/>
        <v>Ja</v>
      </c>
    </row>
    <row r="263" spans="1:22" x14ac:dyDescent="0.2">
      <c r="A263" t="s">
        <v>596</v>
      </c>
      <c r="B263" t="s">
        <v>225</v>
      </c>
      <c r="C263" t="s">
        <v>228</v>
      </c>
      <c r="D263" t="s">
        <v>229</v>
      </c>
      <c r="E263" s="15" t="s">
        <v>597</v>
      </c>
      <c r="F263" t="s">
        <v>323</v>
      </c>
      <c r="G263" t="s">
        <v>30</v>
      </c>
      <c r="H263" t="s">
        <v>31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T263" t="s">
        <v>43</v>
      </c>
      <c r="U263" t="str">
        <f t="shared" si="14"/>
        <v/>
      </c>
      <c r="V263" t="str">
        <f t="shared" si="15"/>
        <v/>
      </c>
    </row>
    <row r="264" spans="1:22" x14ac:dyDescent="0.2">
      <c r="A264" t="s">
        <v>598</v>
      </c>
      <c r="B264" t="s">
        <v>225</v>
      </c>
      <c r="C264" t="s">
        <v>233</v>
      </c>
      <c r="D264" t="s">
        <v>234</v>
      </c>
      <c r="E264" s="15" t="s">
        <v>380</v>
      </c>
      <c r="F264" t="s">
        <v>323</v>
      </c>
      <c r="G264" t="s">
        <v>30</v>
      </c>
      <c r="H264" t="s">
        <v>31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T264" t="s">
        <v>43</v>
      </c>
      <c r="U264" t="str">
        <f t="shared" si="14"/>
        <v/>
      </c>
      <c r="V264" t="str">
        <f t="shared" si="15"/>
        <v/>
      </c>
    </row>
    <row r="265" spans="1:22" x14ac:dyDescent="0.2">
      <c r="A265" t="s">
        <v>599</v>
      </c>
      <c r="B265" t="s">
        <v>364</v>
      </c>
      <c r="C265" t="s">
        <v>382</v>
      </c>
      <c r="D265" t="s">
        <v>143</v>
      </c>
      <c r="E265" s="15" t="s">
        <v>383</v>
      </c>
      <c r="F265" t="s">
        <v>323</v>
      </c>
      <c r="G265" t="s">
        <v>30</v>
      </c>
      <c r="H265" t="s">
        <v>31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T265" t="s">
        <v>43</v>
      </c>
      <c r="U265" t="str">
        <f t="shared" si="14"/>
        <v/>
      </c>
      <c r="V265" t="str">
        <f t="shared" si="15"/>
        <v/>
      </c>
    </row>
    <row r="266" spans="1:22" x14ac:dyDescent="0.2">
      <c r="A266" t="s">
        <v>600</v>
      </c>
      <c r="B266" t="s">
        <v>357</v>
      </c>
      <c r="C266" t="s">
        <v>385</v>
      </c>
      <c r="D266" t="s">
        <v>367</v>
      </c>
      <c r="E266" s="15" t="s">
        <v>386</v>
      </c>
      <c r="F266" t="s">
        <v>323</v>
      </c>
      <c r="G266" t="s">
        <v>30</v>
      </c>
      <c r="H266" t="s">
        <v>31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T266" t="s">
        <v>43</v>
      </c>
      <c r="U266" t="str">
        <f t="shared" si="14"/>
        <v/>
      </c>
      <c r="V266" t="str">
        <f t="shared" si="15"/>
        <v/>
      </c>
    </row>
    <row r="267" spans="1:22" x14ac:dyDescent="0.2">
      <c r="A267" t="s">
        <v>601</v>
      </c>
      <c r="B267" t="s">
        <v>357</v>
      </c>
      <c r="C267" t="s">
        <v>388</v>
      </c>
      <c r="D267" t="s">
        <v>367</v>
      </c>
      <c r="E267" s="15" t="s">
        <v>389</v>
      </c>
      <c r="F267" t="s">
        <v>323</v>
      </c>
      <c r="G267" t="s">
        <v>30</v>
      </c>
      <c r="H267" t="s">
        <v>31</v>
      </c>
      <c r="J267" s="11"/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T267" t="s">
        <v>43</v>
      </c>
      <c r="U267" t="str">
        <f t="shared" si="14"/>
        <v/>
      </c>
      <c r="V267" t="str">
        <f t="shared" si="15"/>
        <v/>
      </c>
    </row>
    <row r="268" spans="1:22" x14ac:dyDescent="0.2">
      <c r="A268" t="s">
        <v>602</v>
      </c>
      <c r="B268" t="s">
        <v>357</v>
      </c>
      <c r="C268" t="s">
        <v>392</v>
      </c>
      <c r="D268" t="s">
        <v>367</v>
      </c>
      <c r="E268" s="15" t="s">
        <v>393</v>
      </c>
      <c r="F268" t="s">
        <v>38</v>
      </c>
      <c r="G268" t="s">
        <v>30</v>
      </c>
      <c r="H268" t="s">
        <v>31</v>
      </c>
      <c r="I268" t="s">
        <v>341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T268" t="s">
        <v>43</v>
      </c>
      <c r="U268" t="str">
        <f t="shared" si="14"/>
        <v/>
      </c>
      <c r="V268" t="str">
        <f t="shared" si="15"/>
        <v>Ja</v>
      </c>
    </row>
    <row r="269" spans="1:22" x14ac:dyDescent="0.2">
      <c r="A269" t="s">
        <v>603</v>
      </c>
      <c r="B269" t="s">
        <v>357</v>
      </c>
      <c r="C269" t="s">
        <v>396</v>
      </c>
      <c r="D269" t="s">
        <v>36</v>
      </c>
      <c r="E269" s="15" t="s">
        <v>443</v>
      </c>
      <c r="F269" t="s">
        <v>323</v>
      </c>
      <c r="G269" t="s">
        <v>30</v>
      </c>
      <c r="H269" t="s">
        <v>31</v>
      </c>
      <c r="I269" t="str">
        <f>IF(J269&lt;&gt;"","UFDB","")</f>
        <v/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T269" t="s">
        <v>43</v>
      </c>
      <c r="U269" t="str">
        <f t="shared" si="14"/>
        <v/>
      </c>
      <c r="V269" t="str">
        <f t="shared" si="15"/>
        <v/>
      </c>
    </row>
    <row r="270" spans="1:22" x14ac:dyDescent="0.2">
      <c r="A270" t="s">
        <v>604</v>
      </c>
      <c r="B270" t="s">
        <v>357</v>
      </c>
      <c r="C270" t="s">
        <v>399</v>
      </c>
      <c r="D270" t="s">
        <v>143</v>
      </c>
      <c r="E270" s="15" t="s">
        <v>400</v>
      </c>
      <c r="F270" t="s">
        <v>323</v>
      </c>
      <c r="G270" t="s">
        <v>30</v>
      </c>
      <c r="H270" t="s">
        <v>31</v>
      </c>
      <c r="I270" t="s">
        <v>347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T270" t="s">
        <v>43</v>
      </c>
      <c r="U270" t="str">
        <f t="shared" si="14"/>
        <v/>
      </c>
      <c r="V270" t="str">
        <f t="shared" si="15"/>
        <v>Ja</v>
      </c>
    </row>
    <row r="271" spans="1:22" x14ac:dyDescent="0.2">
      <c r="A271" t="s">
        <v>605</v>
      </c>
      <c r="B271" t="s">
        <v>354</v>
      </c>
      <c r="C271" t="s">
        <v>446</v>
      </c>
      <c r="D271" t="s">
        <v>357</v>
      </c>
      <c r="E271" s="15"/>
      <c r="F271" t="s">
        <v>323</v>
      </c>
      <c r="G271" t="s">
        <v>30</v>
      </c>
      <c r="H271" t="s">
        <v>31</v>
      </c>
      <c r="I271" t="s">
        <v>351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T271" t="s">
        <v>43</v>
      </c>
      <c r="U271" t="str">
        <f t="shared" si="14"/>
        <v/>
      </c>
      <c r="V271" t="str">
        <f t="shared" si="15"/>
        <v>Ja</v>
      </c>
    </row>
    <row r="272" spans="1:22" x14ac:dyDescent="0.2">
      <c r="A272" t="s">
        <v>606</v>
      </c>
      <c r="B272" t="s">
        <v>357</v>
      </c>
      <c r="C272" t="s">
        <v>26</v>
      </c>
      <c r="D272" t="s">
        <v>27</v>
      </c>
      <c r="E272" s="15" t="s">
        <v>360</v>
      </c>
      <c r="G272" t="s">
        <v>30</v>
      </c>
      <c r="H272" t="s">
        <v>31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T272" t="s">
        <v>43</v>
      </c>
      <c r="U272" t="str">
        <f t="shared" ref="U272:U335" si="17">IF(AND(COUNTIF($K272:$R272,"Ja")&gt;0,OR($I272="",AND($I272="UFDB",$J272=""))),"Ja","")</f>
        <v/>
      </c>
      <c r="V272" t="str">
        <f t="shared" ref="V272:V335" si="18">IF(AND(COUNTIF($K272:$R272,"Ja")=0,$I272&lt;&gt;""),"Ja","")</f>
        <v/>
      </c>
    </row>
    <row r="273" spans="1:22" x14ac:dyDescent="0.2">
      <c r="A273" t="s">
        <v>607</v>
      </c>
      <c r="B273" t="s">
        <v>357</v>
      </c>
      <c r="C273" t="s">
        <v>363</v>
      </c>
      <c r="D273" t="s">
        <v>364</v>
      </c>
      <c r="E273" s="15"/>
      <c r="G273" t="s">
        <v>139</v>
      </c>
      <c r="H273" t="s">
        <v>31</v>
      </c>
      <c r="I273" t="str">
        <f t="shared" ref="I273:I279" si="19">IF(J273&lt;&gt;"","UFDB","")</f>
        <v>UFDB</v>
      </c>
      <c r="J273" t="s">
        <v>608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T273" t="s">
        <v>43</v>
      </c>
      <c r="U273" t="str">
        <f t="shared" si="17"/>
        <v/>
      </c>
      <c r="V273" t="str">
        <f t="shared" si="18"/>
        <v>Ja</v>
      </c>
    </row>
    <row r="274" spans="1:22" x14ac:dyDescent="0.2">
      <c r="A274" t="s">
        <v>609</v>
      </c>
      <c r="B274" t="s">
        <v>364</v>
      </c>
      <c r="C274" t="s">
        <v>366</v>
      </c>
      <c r="D274" t="s">
        <v>367</v>
      </c>
      <c r="E274" s="15" t="s">
        <v>548</v>
      </c>
      <c r="F274" t="s">
        <v>29</v>
      </c>
      <c r="G274" t="s">
        <v>30</v>
      </c>
      <c r="H274" t="s">
        <v>31</v>
      </c>
      <c r="I274" t="str">
        <f t="shared" si="19"/>
        <v>UFDB</v>
      </c>
      <c r="J274" t="s">
        <v>610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T274" t="s">
        <v>43</v>
      </c>
      <c r="U274" t="str">
        <f t="shared" si="17"/>
        <v/>
      </c>
      <c r="V274" t="str">
        <f t="shared" si="18"/>
        <v>Ja</v>
      </c>
    </row>
    <row r="275" spans="1:22" x14ac:dyDescent="0.2">
      <c r="A275" t="s">
        <v>611</v>
      </c>
      <c r="B275" t="s">
        <v>364</v>
      </c>
      <c r="C275" t="s">
        <v>370</v>
      </c>
      <c r="D275" t="s">
        <v>225</v>
      </c>
      <c r="E275" s="15"/>
      <c r="F275" t="s">
        <v>323</v>
      </c>
      <c r="G275" t="s">
        <v>30</v>
      </c>
      <c r="H275" t="s">
        <v>31</v>
      </c>
      <c r="I275" t="str">
        <f t="shared" si="19"/>
        <v>UFDB</v>
      </c>
      <c r="J275" t="s">
        <v>612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T275" t="s">
        <v>43</v>
      </c>
      <c r="U275" t="str">
        <f t="shared" si="17"/>
        <v/>
      </c>
      <c r="V275" t="str">
        <f t="shared" si="18"/>
        <v>Ja</v>
      </c>
    </row>
    <row r="276" spans="1:22" x14ac:dyDescent="0.2">
      <c r="A276" t="s">
        <v>613</v>
      </c>
      <c r="B276" t="s">
        <v>225</v>
      </c>
      <c r="C276" t="s">
        <v>228</v>
      </c>
      <c r="D276" t="s">
        <v>229</v>
      </c>
      <c r="E276" s="15" t="s">
        <v>553</v>
      </c>
      <c r="F276" t="s">
        <v>323</v>
      </c>
      <c r="G276" t="s">
        <v>30</v>
      </c>
      <c r="H276" t="s">
        <v>31</v>
      </c>
      <c r="I276" t="str">
        <f t="shared" si="19"/>
        <v>UFDB</v>
      </c>
      <c r="J276" t="s">
        <v>614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T276" t="s">
        <v>43</v>
      </c>
      <c r="U276" t="str">
        <f t="shared" si="17"/>
        <v/>
      </c>
      <c r="V276" t="str">
        <f t="shared" si="18"/>
        <v>Ja</v>
      </c>
    </row>
    <row r="277" spans="1:22" x14ac:dyDescent="0.2">
      <c r="A277" t="s">
        <v>615</v>
      </c>
      <c r="B277" t="s">
        <v>225</v>
      </c>
      <c r="C277" t="s">
        <v>233</v>
      </c>
      <c r="D277" t="s">
        <v>234</v>
      </c>
      <c r="E277" s="15" t="s">
        <v>374</v>
      </c>
      <c r="F277" t="s">
        <v>323</v>
      </c>
      <c r="G277" t="s">
        <v>30</v>
      </c>
      <c r="H277" t="s">
        <v>31</v>
      </c>
      <c r="I277" t="str">
        <f t="shared" si="19"/>
        <v>UFDB</v>
      </c>
      <c r="J277" t="s">
        <v>616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T277" t="s">
        <v>43</v>
      </c>
      <c r="U277" t="str">
        <f t="shared" si="17"/>
        <v/>
      </c>
      <c r="V277" t="str">
        <f t="shared" si="18"/>
        <v>Ja</v>
      </c>
    </row>
    <row r="278" spans="1:22" x14ac:dyDescent="0.2">
      <c r="A278" t="s">
        <v>617</v>
      </c>
      <c r="B278" t="s">
        <v>364</v>
      </c>
      <c r="C278" t="s">
        <v>370</v>
      </c>
      <c r="D278" t="s">
        <v>225</v>
      </c>
      <c r="E278" s="15"/>
      <c r="F278" t="s">
        <v>323</v>
      </c>
      <c r="G278" t="s">
        <v>30</v>
      </c>
      <c r="H278" t="s">
        <v>31</v>
      </c>
      <c r="I278" t="str">
        <f t="shared" si="19"/>
        <v>UFDB</v>
      </c>
      <c r="J278" t="s">
        <v>618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T278" t="s">
        <v>43</v>
      </c>
      <c r="U278" t="str">
        <f t="shared" si="17"/>
        <v/>
      </c>
      <c r="V278" t="str">
        <f t="shared" si="18"/>
        <v>Ja</v>
      </c>
    </row>
    <row r="279" spans="1:22" x14ac:dyDescent="0.2">
      <c r="A279" t="s">
        <v>619</v>
      </c>
      <c r="B279" t="s">
        <v>225</v>
      </c>
      <c r="C279" t="s">
        <v>228</v>
      </c>
      <c r="D279" t="s">
        <v>229</v>
      </c>
      <c r="E279" s="15" t="s">
        <v>620</v>
      </c>
      <c r="F279" t="s">
        <v>323</v>
      </c>
      <c r="G279" t="s">
        <v>30</v>
      </c>
      <c r="H279" t="s">
        <v>31</v>
      </c>
      <c r="I279" t="str">
        <f t="shared" si="19"/>
        <v>UFDB</v>
      </c>
      <c r="J279" t="s">
        <v>621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T279" t="s">
        <v>43</v>
      </c>
      <c r="U279" t="str">
        <f t="shared" si="17"/>
        <v/>
      </c>
      <c r="V279" t="str">
        <f t="shared" si="18"/>
        <v>Ja</v>
      </c>
    </row>
    <row r="280" spans="1:22" x14ac:dyDescent="0.2">
      <c r="A280" t="s">
        <v>622</v>
      </c>
      <c r="B280" t="s">
        <v>225</v>
      </c>
      <c r="C280" t="s">
        <v>233</v>
      </c>
      <c r="D280" t="s">
        <v>234</v>
      </c>
      <c r="E280" s="15" t="s">
        <v>380</v>
      </c>
      <c r="F280" t="s">
        <v>38</v>
      </c>
      <c r="G280" t="s">
        <v>30</v>
      </c>
      <c r="H280" t="s">
        <v>31</v>
      </c>
      <c r="I280" t="s">
        <v>341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T280" t="s">
        <v>43</v>
      </c>
      <c r="U280" t="str">
        <f t="shared" si="17"/>
        <v/>
      </c>
      <c r="V280" t="str">
        <f t="shared" si="18"/>
        <v>Ja</v>
      </c>
    </row>
    <row r="281" spans="1:22" x14ac:dyDescent="0.2">
      <c r="A281" t="s">
        <v>623</v>
      </c>
      <c r="B281" t="s">
        <v>364</v>
      </c>
      <c r="C281" t="s">
        <v>382</v>
      </c>
      <c r="D281" t="s">
        <v>143</v>
      </c>
      <c r="E281" s="15" t="s">
        <v>383</v>
      </c>
      <c r="F281" t="s">
        <v>323</v>
      </c>
      <c r="G281" t="s">
        <v>30</v>
      </c>
      <c r="H281" t="s">
        <v>31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T281" t="s">
        <v>43</v>
      </c>
      <c r="U281" t="str">
        <f t="shared" si="17"/>
        <v/>
      </c>
      <c r="V281" t="str">
        <f t="shared" si="18"/>
        <v/>
      </c>
    </row>
    <row r="282" spans="1:22" x14ac:dyDescent="0.2">
      <c r="A282" t="s">
        <v>624</v>
      </c>
      <c r="B282" t="s">
        <v>357</v>
      </c>
      <c r="C282" t="s">
        <v>385</v>
      </c>
      <c r="D282" t="s">
        <v>367</v>
      </c>
      <c r="E282" s="15" t="s">
        <v>386</v>
      </c>
      <c r="F282" t="s">
        <v>323</v>
      </c>
      <c r="G282" t="s">
        <v>30</v>
      </c>
      <c r="H282" t="s">
        <v>31</v>
      </c>
      <c r="I282" t="s">
        <v>347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T282" t="s">
        <v>43</v>
      </c>
      <c r="U282" t="str">
        <f t="shared" si="17"/>
        <v/>
      </c>
      <c r="V282" t="str">
        <f t="shared" si="18"/>
        <v>Ja</v>
      </c>
    </row>
    <row r="283" spans="1:22" x14ac:dyDescent="0.2">
      <c r="A283" t="s">
        <v>625</v>
      </c>
      <c r="B283" t="s">
        <v>357</v>
      </c>
      <c r="C283" t="s">
        <v>388</v>
      </c>
      <c r="D283" t="s">
        <v>367</v>
      </c>
      <c r="E283" s="15" t="s">
        <v>389</v>
      </c>
      <c r="F283" t="s">
        <v>323</v>
      </c>
      <c r="G283" t="s">
        <v>30</v>
      </c>
      <c r="H283" t="s">
        <v>31</v>
      </c>
      <c r="I283" t="s">
        <v>351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T283" t="s">
        <v>43</v>
      </c>
      <c r="U283" t="str">
        <f t="shared" si="17"/>
        <v/>
      </c>
      <c r="V283" t="str">
        <f t="shared" si="18"/>
        <v>Ja</v>
      </c>
    </row>
    <row r="284" spans="1:22" x14ac:dyDescent="0.2">
      <c r="A284" t="s">
        <v>626</v>
      </c>
      <c r="B284" t="s">
        <v>357</v>
      </c>
      <c r="C284" t="s">
        <v>392</v>
      </c>
      <c r="D284" t="s">
        <v>367</v>
      </c>
      <c r="E284" s="15" t="s">
        <v>393</v>
      </c>
      <c r="G284" t="s">
        <v>30</v>
      </c>
      <c r="H284" t="s">
        <v>31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T284" t="s">
        <v>43</v>
      </c>
      <c r="U284" t="str">
        <f t="shared" si="17"/>
        <v/>
      </c>
      <c r="V284" t="str">
        <f t="shared" si="18"/>
        <v/>
      </c>
    </row>
    <row r="285" spans="1:22" x14ac:dyDescent="0.2">
      <c r="A285" t="s">
        <v>627</v>
      </c>
      <c r="B285" t="s">
        <v>357</v>
      </c>
      <c r="C285" t="s">
        <v>396</v>
      </c>
      <c r="D285" t="s">
        <v>36</v>
      </c>
      <c r="E285" s="15" t="s">
        <v>397</v>
      </c>
      <c r="G285" t="s">
        <v>139</v>
      </c>
      <c r="H285" t="s">
        <v>31</v>
      </c>
      <c r="I285" t="str">
        <f>IF(J285&lt;&gt;"","UFDB","")</f>
        <v>UFDB</v>
      </c>
      <c r="J285" t="s">
        <v>628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T285" t="s">
        <v>43</v>
      </c>
      <c r="U285" t="str">
        <f t="shared" si="17"/>
        <v/>
      </c>
      <c r="V285" t="str">
        <f t="shared" si="18"/>
        <v>Ja</v>
      </c>
    </row>
    <row r="286" spans="1:22" x14ac:dyDescent="0.2">
      <c r="A286" t="s">
        <v>629</v>
      </c>
      <c r="B286" t="s">
        <v>357</v>
      </c>
      <c r="C286" t="s">
        <v>399</v>
      </c>
      <c r="D286" t="s">
        <v>143</v>
      </c>
      <c r="E286" s="15" t="s">
        <v>400</v>
      </c>
      <c r="F286" t="s">
        <v>29</v>
      </c>
      <c r="G286" t="s">
        <v>30</v>
      </c>
      <c r="H286" t="s">
        <v>31</v>
      </c>
      <c r="I286" t="str">
        <f>IF(J286&lt;&gt;"","UFDB","")</f>
        <v>UFDB</v>
      </c>
      <c r="J286" t="s">
        <v>630</v>
      </c>
      <c r="K286" t="s">
        <v>43</v>
      </c>
      <c r="L286" t="s">
        <v>43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T286" t="s">
        <v>43</v>
      </c>
      <c r="U286" t="str">
        <f t="shared" si="17"/>
        <v/>
      </c>
      <c r="V286" t="str">
        <f t="shared" si="18"/>
        <v>Ja</v>
      </c>
    </row>
    <row r="287" spans="1:22" x14ac:dyDescent="0.2">
      <c r="A287" t="s">
        <v>631</v>
      </c>
      <c r="B287" t="s">
        <v>350</v>
      </c>
      <c r="C287" t="s">
        <v>632</v>
      </c>
      <c r="D287" t="s">
        <v>354</v>
      </c>
      <c r="E287" s="15"/>
      <c r="F287" t="s">
        <v>323</v>
      </c>
      <c r="G287" t="s">
        <v>30</v>
      </c>
      <c r="H287" t="s">
        <v>31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T287" t="s">
        <v>43</v>
      </c>
      <c r="U287" t="str">
        <f t="shared" si="17"/>
        <v/>
      </c>
      <c r="V287" t="str">
        <f t="shared" si="18"/>
        <v/>
      </c>
    </row>
    <row r="288" spans="1:22" x14ac:dyDescent="0.2">
      <c r="A288" t="s">
        <v>633</v>
      </c>
      <c r="B288" t="s">
        <v>354</v>
      </c>
      <c r="C288" t="s">
        <v>356</v>
      </c>
      <c r="D288" t="s">
        <v>357</v>
      </c>
      <c r="E288" s="15"/>
      <c r="F288" t="s">
        <v>323</v>
      </c>
      <c r="G288" t="s">
        <v>30</v>
      </c>
      <c r="H288" t="s">
        <v>31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T288" t="s">
        <v>43</v>
      </c>
      <c r="U288" t="str">
        <f t="shared" si="17"/>
        <v/>
      </c>
      <c r="V288" t="str">
        <f t="shared" si="18"/>
        <v/>
      </c>
    </row>
    <row r="289" spans="1:22" x14ac:dyDescent="0.2">
      <c r="A289" t="s">
        <v>634</v>
      </c>
      <c r="B289" t="s">
        <v>357</v>
      </c>
      <c r="C289" t="s">
        <v>26</v>
      </c>
      <c r="D289" t="s">
        <v>27</v>
      </c>
      <c r="E289" s="15" t="s">
        <v>360</v>
      </c>
      <c r="F289" t="s">
        <v>323</v>
      </c>
      <c r="G289" t="s">
        <v>30</v>
      </c>
      <c r="H289" t="s">
        <v>31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T289" t="s">
        <v>43</v>
      </c>
      <c r="U289" t="str">
        <f t="shared" si="17"/>
        <v/>
      </c>
      <c r="V289" t="str">
        <f t="shared" si="18"/>
        <v/>
      </c>
    </row>
    <row r="290" spans="1:22" x14ac:dyDescent="0.2">
      <c r="A290" t="s">
        <v>635</v>
      </c>
      <c r="B290" t="s">
        <v>357</v>
      </c>
      <c r="C290" t="s">
        <v>363</v>
      </c>
      <c r="D290" t="s">
        <v>364</v>
      </c>
      <c r="E290" s="15"/>
      <c r="F290" t="s">
        <v>323</v>
      </c>
      <c r="G290" t="s">
        <v>30</v>
      </c>
      <c r="H290" t="s">
        <v>31</v>
      </c>
      <c r="K290" t="s">
        <v>43</v>
      </c>
      <c r="L290" t="s">
        <v>43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43</v>
      </c>
      <c r="T290" t="s">
        <v>43</v>
      </c>
      <c r="U290" t="str">
        <f t="shared" si="17"/>
        <v/>
      </c>
      <c r="V290" t="str">
        <f t="shared" si="18"/>
        <v/>
      </c>
    </row>
    <row r="291" spans="1:22" x14ac:dyDescent="0.2">
      <c r="A291" t="s">
        <v>636</v>
      </c>
      <c r="B291" t="s">
        <v>364</v>
      </c>
      <c r="C291" t="s">
        <v>366</v>
      </c>
      <c r="D291" t="s">
        <v>367</v>
      </c>
      <c r="E291" s="15" t="s">
        <v>548</v>
      </c>
      <c r="F291" t="s">
        <v>323</v>
      </c>
      <c r="G291" t="s">
        <v>30</v>
      </c>
      <c r="H291" t="s">
        <v>31</v>
      </c>
      <c r="J291" s="11"/>
      <c r="K291" t="s">
        <v>43</v>
      </c>
      <c r="L291" t="s">
        <v>43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43</v>
      </c>
      <c r="T291" t="s">
        <v>43</v>
      </c>
      <c r="U291" t="str">
        <f t="shared" si="17"/>
        <v/>
      </c>
      <c r="V291" t="str">
        <f t="shared" si="18"/>
        <v/>
      </c>
    </row>
    <row r="292" spans="1:22" x14ac:dyDescent="0.2">
      <c r="A292" t="s">
        <v>637</v>
      </c>
      <c r="B292" t="s">
        <v>364</v>
      </c>
      <c r="C292" t="s">
        <v>370</v>
      </c>
      <c r="D292" t="s">
        <v>225</v>
      </c>
      <c r="E292" s="15"/>
      <c r="F292" t="s">
        <v>38</v>
      </c>
      <c r="G292" t="s">
        <v>30</v>
      </c>
      <c r="H292" t="s">
        <v>31</v>
      </c>
      <c r="I292" t="s">
        <v>341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T292" t="s">
        <v>43</v>
      </c>
      <c r="U292" t="str">
        <f t="shared" si="17"/>
        <v/>
      </c>
      <c r="V292" t="str">
        <f t="shared" si="18"/>
        <v>Ja</v>
      </c>
    </row>
    <row r="293" spans="1:22" x14ac:dyDescent="0.2">
      <c r="A293" t="s">
        <v>638</v>
      </c>
      <c r="B293" t="s">
        <v>225</v>
      </c>
      <c r="C293" t="s">
        <v>228</v>
      </c>
      <c r="D293" t="s">
        <v>229</v>
      </c>
      <c r="E293" s="15" t="s">
        <v>553</v>
      </c>
      <c r="F293" t="s">
        <v>323</v>
      </c>
      <c r="G293" t="s">
        <v>30</v>
      </c>
      <c r="H293" t="s">
        <v>31</v>
      </c>
      <c r="I293" t="str">
        <f>IF(J293&lt;&gt;"","UFDB","")</f>
        <v>UFDB</v>
      </c>
      <c r="J293" t="s">
        <v>639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T293" t="s">
        <v>43</v>
      </c>
      <c r="U293" t="str">
        <f t="shared" si="17"/>
        <v/>
      </c>
      <c r="V293" t="str">
        <f t="shared" si="18"/>
        <v>Ja</v>
      </c>
    </row>
    <row r="294" spans="1:22" x14ac:dyDescent="0.2">
      <c r="A294" t="s">
        <v>640</v>
      </c>
      <c r="B294" t="s">
        <v>225</v>
      </c>
      <c r="C294" t="s">
        <v>233</v>
      </c>
      <c r="D294" t="s">
        <v>234</v>
      </c>
      <c r="E294" s="15" t="s">
        <v>374</v>
      </c>
      <c r="F294" t="s">
        <v>323</v>
      </c>
      <c r="G294" t="s">
        <v>30</v>
      </c>
      <c r="H294" t="s">
        <v>31</v>
      </c>
      <c r="I294" t="s">
        <v>347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T294" t="s">
        <v>43</v>
      </c>
      <c r="U294" t="str">
        <f t="shared" si="17"/>
        <v/>
      </c>
      <c r="V294" t="str">
        <f t="shared" si="18"/>
        <v>Ja</v>
      </c>
    </row>
    <row r="295" spans="1:22" x14ac:dyDescent="0.2">
      <c r="A295" t="s">
        <v>641</v>
      </c>
      <c r="B295" t="s">
        <v>364</v>
      </c>
      <c r="C295" t="s">
        <v>370</v>
      </c>
      <c r="D295" t="s">
        <v>225</v>
      </c>
      <c r="E295" s="15"/>
      <c r="F295" t="s">
        <v>323</v>
      </c>
      <c r="G295" t="s">
        <v>30</v>
      </c>
      <c r="H295" t="s">
        <v>31</v>
      </c>
      <c r="I295" t="s">
        <v>351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T295" t="s">
        <v>43</v>
      </c>
      <c r="U295" t="str">
        <f t="shared" si="17"/>
        <v/>
      </c>
      <c r="V295" t="str">
        <f t="shared" si="18"/>
        <v>Ja</v>
      </c>
    </row>
    <row r="296" spans="1:22" x14ac:dyDescent="0.2">
      <c r="A296" t="s">
        <v>642</v>
      </c>
      <c r="B296" t="s">
        <v>225</v>
      </c>
      <c r="C296" t="s">
        <v>228</v>
      </c>
      <c r="D296" t="s">
        <v>229</v>
      </c>
      <c r="E296" s="15" t="s">
        <v>557</v>
      </c>
      <c r="G296" t="s">
        <v>30</v>
      </c>
      <c r="H296" t="s">
        <v>31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T296" t="s">
        <v>43</v>
      </c>
      <c r="U296" t="str">
        <f t="shared" si="17"/>
        <v/>
      </c>
      <c r="V296" t="str">
        <f t="shared" si="18"/>
        <v/>
      </c>
    </row>
    <row r="297" spans="1:22" x14ac:dyDescent="0.2">
      <c r="A297" t="s">
        <v>643</v>
      </c>
      <c r="B297" t="s">
        <v>225</v>
      </c>
      <c r="C297" t="s">
        <v>233</v>
      </c>
      <c r="D297" t="s">
        <v>234</v>
      </c>
      <c r="E297" s="15" t="s">
        <v>380</v>
      </c>
      <c r="G297" t="s">
        <v>139</v>
      </c>
      <c r="H297" t="s">
        <v>31</v>
      </c>
      <c r="I297" t="str">
        <f>IF(J297&lt;&gt;"","UFDB","")</f>
        <v>UFDB</v>
      </c>
      <c r="J297" t="s">
        <v>644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T297" t="s">
        <v>43</v>
      </c>
      <c r="U297" t="str">
        <f t="shared" si="17"/>
        <v/>
      </c>
      <c r="V297" t="str">
        <f t="shared" si="18"/>
        <v>Ja</v>
      </c>
    </row>
    <row r="298" spans="1:22" x14ac:dyDescent="0.2">
      <c r="A298" t="s">
        <v>645</v>
      </c>
      <c r="B298" t="s">
        <v>364</v>
      </c>
      <c r="C298" t="s">
        <v>382</v>
      </c>
      <c r="D298" t="s">
        <v>143</v>
      </c>
      <c r="E298" s="15" t="s">
        <v>383</v>
      </c>
      <c r="F298" t="s">
        <v>29</v>
      </c>
      <c r="G298" t="s">
        <v>30</v>
      </c>
      <c r="H298" t="s">
        <v>31</v>
      </c>
      <c r="I298" t="str">
        <f>IF(J298&lt;&gt;"","UFDB","")</f>
        <v>UFDB</v>
      </c>
      <c r="J298" t="s">
        <v>646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T298" t="s">
        <v>43</v>
      </c>
      <c r="U298" t="str">
        <f t="shared" si="17"/>
        <v/>
      </c>
      <c r="V298" t="str">
        <f t="shared" si="18"/>
        <v>Ja</v>
      </c>
    </row>
    <row r="299" spans="1:22" x14ac:dyDescent="0.2">
      <c r="A299" t="s">
        <v>647</v>
      </c>
      <c r="B299" t="s">
        <v>357</v>
      </c>
      <c r="C299" t="s">
        <v>385</v>
      </c>
      <c r="D299" t="s">
        <v>367</v>
      </c>
      <c r="E299" s="15" t="s">
        <v>386</v>
      </c>
      <c r="F299" t="s">
        <v>323</v>
      </c>
      <c r="G299" t="s">
        <v>30</v>
      </c>
      <c r="H299" t="s">
        <v>31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T299" t="s">
        <v>43</v>
      </c>
      <c r="U299" t="str">
        <f t="shared" si="17"/>
        <v/>
      </c>
      <c r="V299" t="str">
        <f t="shared" si="18"/>
        <v/>
      </c>
    </row>
    <row r="300" spans="1:22" x14ac:dyDescent="0.2">
      <c r="A300" t="s">
        <v>648</v>
      </c>
      <c r="B300" t="s">
        <v>357</v>
      </c>
      <c r="C300" t="s">
        <v>388</v>
      </c>
      <c r="D300" t="s">
        <v>367</v>
      </c>
      <c r="E300" s="15" t="s">
        <v>389</v>
      </c>
      <c r="F300" t="s">
        <v>323</v>
      </c>
      <c r="G300" t="s">
        <v>30</v>
      </c>
      <c r="H300" t="s">
        <v>31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T300" t="s">
        <v>43</v>
      </c>
      <c r="U300" t="str">
        <f t="shared" si="17"/>
        <v/>
      </c>
      <c r="V300" t="str">
        <f t="shared" si="18"/>
        <v/>
      </c>
    </row>
    <row r="301" spans="1:22" x14ac:dyDescent="0.2">
      <c r="A301" t="s">
        <v>649</v>
      </c>
      <c r="B301" t="s">
        <v>357</v>
      </c>
      <c r="C301" t="s">
        <v>392</v>
      </c>
      <c r="D301" t="s">
        <v>367</v>
      </c>
      <c r="E301" s="15" t="s">
        <v>393</v>
      </c>
      <c r="F301" t="s">
        <v>323</v>
      </c>
      <c r="G301" t="s">
        <v>30</v>
      </c>
      <c r="H301" t="s">
        <v>31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T301" t="s">
        <v>43</v>
      </c>
      <c r="U301" t="str">
        <f t="shared" si="17"/>
        <v/>
      </c>
      <c r="V301" t="str">
        <f t="shared" si="18"/>
        <v/>
      </c>
    </row>
    <row r="302" spans="1:22" x14ac:dyDescent="0.2">
      <c r="A302" t="s">
        <v>650</v>
      </c>
      <c r="B302" t="s">
        <v>357</v>
      </c>
      <c r="C302" t="s">
        <v>396</v>
      </c>
      <c r="D302" t="s">
        <v>36</v>
      </c>
      <c r="E302" s="15" t="s">
        <v>397</v>
      </c>
      <c r="F302" t="s">
        <v>323</v>
      </c>
      <c r="G302" t="s">
        <v>30</v>
      </c>
      <c r="H302" t="s">
        <v>31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T302" t="s">
        <v>43</v>
      </c>
      <c r="U302" t="str">
        <f t="shared" si="17"/>
        <v/>
      </c>
      <c r="V302" t="str">
        <f t="shared" si="18"/>
        <v/>
      </c>
    </row>
    <row r="303" spans="1:22" x14ac:dyDescent="0.2">
      <c r="A303" t="s">
        <v>651</v>
      </c>
      <c r="B303" t="s">
        <v>357</v>
      </c>
      <c r="C303" t="s">
        <v>399</v>
      </c>
      <c r="D303" t="s">
        <v>143</v>
      </c>
      <c r="E303" s="15" t="s">
        <v>400</v>
      </c>
      <c r="F303" t="s">
        <v>323</v>
      </c>
      <c r="G303" t="s">
        <v>30</v>
      </c>
      <c r="H303" t="s">
        <v>31</v>
      </c>
      <c r="J303" s="11"/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T303" t="s">
        <v>43</v>
      </c>
      <c r="U303" t="str">
        <f t="shared" si="17"/>
        <v/>
      </c>
      <c r="V303" t="str">
        <f t="shared" si="18"/>
        <v/>
      </c>
    </row>
    <row r="304" spans="1:22" x14ac:dyDescent="0.2">
      <c r="A304" t="s">
        <v>652</v>
      </c>
      <c r="B304" t="s">
        <v>354</v>
      </c>
      <c r="C304" t="s">
        <v>402</v>
      </c>
      <c r="D304" t="s">
        <v>357</v>
      </c>
      <c r="E304" s="15"/>
      <c r="F304" t="s">
        <v>38</v>
      </c>
      <c r="G304" t="s">
        <v>30</v>
      </c>
      <c r="H304" t="s">
        <v>31</v>
      </c>
      <c r="I304" t="s">
        <v>341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T304" t="s">
        <v>43</v>
      </c>
      <c r="U304" t="str">
        <f t="shared" si="17"/>
        <v/>
      </c>
      <c r="V304" t="str">
        <f t="shared" si="18"/>
        <v>Ja</v>
      </c>
    </row>
    <row r="305" spans="1:22" x14ac:dyDescent="0.2">
      <c r="A305" t="s">
        <v>653</v>
      </c>
      <c r="B305" t="s">
        <v>357</v>
      </c>
      <c r="C305" t="s">
        <v>26</v>
      </c>
      <c r="D305" t="s">
        <v>27</v>
      </c>
      <c r="E305" s="15" t="s">
        <v>360</v>
      </c>
      <c r="F305" t="s">
        <v>323</v>
      </c>
      <c r="G305" t="s">
        <v>30</v>
      </c>
      <c r="H305" t="s">
        <v>31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T305" t="s">
        <v>43</v>
      </c>
      <c r="U305" t="str">
        <f t="shared" si="17"/>
        <v/>
      </c>
      <c r="V305" t="str">
        <f t="shared" si="18"/>
        <v/>
      </c>
    </row>
    <row r="306" spans="1:22" x14ac:dyDescent="0.2">
      <c r="A306" t="s">
        <v>654</v>
      </c>
      <c r="B306" t="s">
        <v>357</v>
      </c>
      <c r="C306" t="s">
        <v>363</v>
      </c>
      <c r="D306" t="s">
        <v>364</v>
      </c>
      <c r="E306" s="15"/>
      <c r="F306" t="s">
        <v>323</v>
      </c>
      <c r="G306" t="s">
        <v>30</v>
      </c>
      <c r="H306" t="s">
        <v>31</v>
      </c>
      <c r="I306" t="s">
        <v>347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T306" t="s">
        <v>43</v>
      </c>
      <c r="U306" t="str">
        <f t="shared" si="17"/>
        <v/>
      </c>
      <c r="V306" t="str">
        <f t="shared" si="18"/>
        <v>Ja</v>
      </c>
    </row>
    <row r="307" spans="1:22" x14ac:dyDescent="0.2">
      <c r="A307" t="s">
        <v>655</v>
      </c>
      <c r="B307" t="s">
        <v>364</v>
      </c>
      <c r="C307" t="s">
        <v>366</v>
      </c>
      <c r="D307" t="s">
        <v>367</v>
      </c>
      <c r="E307" s="15" t="s">
        <v>571</v>
      </c>
      <c r="F307" t="s">
        <v>323</v>
      </c>
      <c r="G307" t="s">
        <v>30</v>
      </c>
      <c r="H307" t="s">
        <v>31</v>
      </c>
      <c r="I307" t="s">
        <v>351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T307" t="s">
        <v>43</v>
      </c>
      <c r="U307" t="str">
        <f t="shared" si="17"/>
        <v/>
      </c>
      <c r="V307" t="str">
        <f t="shared" si="18"/>
        <v>Ja</v>
      </c>
    </row>
    <row r="308" spans="1:22" x14ac:dyDescent="0.2">
      <c r="A308" t="s">
        <v>656</v>
      </c>
      <c r="B308" t="s">
        <v>364</v>
      </c>
      <c r="C308" t="s">
        <v>370</v>
      </c>
      <c r="D308" t="s">
        <v>225</v>
      </c>
      <c r="E308" s="15"/>
      <c r="G308" t="s">
        <v>30</v>
      </c>
      <c r="H308" t="s">
        <v>31</v>
      </c>
      <c r="I308" t="str">
        <f>IF(J308&lt;&gt;"","UFDB","")</f>
        <v>UFDB</v>
      </c>
      <c r="J308" t="s">
        <v>657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T308" t="s">
        <v>43</v>
      </c>
      <c r="U308" t="str">
        <f t="shared" si="17"/>
        <v/>
      </c>
      <c r="V308" t="str">
        <f t="shared" si="18"/>
        <v>Ja</v>
      </c>
    </row>
    <row r="309" spans="1:22" x14ac:dyDescent="0.2">
      <c r="A309" t="s">
        <v>658</v>
      </c>
      <c r="B309" t="s">
        <v>225</v>
      </c>
      <c r="C309" t="s">
        <v>228</v>
      </c>
      <c r="D309" t="s">
        <v>229</v>
      </c>
      <c r="E309" s="15" t="s">
        <v>553</v>
      </c>
      <c r="G309" t="s">
        <v>139</v>
      </c>
      <c r="H309" t="s">
        <v>31</v>
      </c>
      <c r="I309" t="str">
        <f>IF(J309&lt;&gt;"","UFDB","")</f>
        <v>UFDB</v>
      </c>
      <c r="J309" t="s">
        <v>659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43</v>
      </c>
      <c r="T309" t="s">
        <v>43</v>
      </c>
      <c r="U309" t="str">
        <f t="shared" si="17"/>
        <v/>
      </c>
      <c r="V309" t="str">
        <f t="shared" si="18"/>
        <v>Ja</v>
      </c>
    </row>
    <row r="310" spans="1:22" x14ac:dyDescent="0.2">
      <c r="A310" t="s">
        <v>660</v>
      </c>
      <c r="B310" t="s">
        <v>225</v>
      </c>
      <c r="C310" t="s">
        <v>233</v>
      </c>
      <c r="D310" t="s">
        <v>234</v>
      </c>
      <c r="E310" s="15" t="s">
        <v>374</v>
      </c>
      <c r="F310" t="s">
        <v>29</v>
      </c>
      <c r="G310" t="s">
        <v>30</v>
      </c>
      <c r="H310" t="s">
        <v>31</v>
      </c>
      <c r="I310" t="str">
        <f>IF(J310&lt;&gt;"","UFDB","")</f>
        <v>UFDB</v>
      </c>
      <c r="J310" t="s">
        <v>661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T310" t="s">
        <v>43</v>
      </c>
      <c r="U310" t="str">
        <f t="shared" si="17"/>
        <v/>
      </c>
      <c r="V310" t="str">
        <f t="shared" si="18"/>
        <v>Ja</v>
      </c>
    </row>
    <row r="311" spans="1:22" x14ac:dyDescent="0.2">
      <c r="A311" t="s">
        <v>662</v>
      </c>
      <c r="B311" t="s">
        <v>364</v>
      </c>
      <c r="C311" t="s">
        <v>370</v>
      </c>
      <c r="D311" t="s">
        <v>225</v>
      </c>
      <c r="E311" s="15"/>
      <c r="F311" t="s">
        <v>323</v>
      </c>
      <c r="G311" t="s">
        <v>30</v>
      </c>
      <c r="H311" t="s">
        <v>31</v>
      </c>
      <c r="K311" t="s">
        <v>43</v>
      </c>
      <c r="L311" t="s">
        <v>43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T311" t="s">
        <v>43</v>
      </c>
      <c r="U311" t="str">
        <f t="shared" si="17"/>
        <v/>
      </c>
      <c r="V311" t="str">
        <f t="shared" si="18"/>
        <v/>
      </c>
    </row>
    <row r="312" spans="1:22" x14ac:dyDescent="0.2">
      <c r="A312" t="s">
        <v>663</v>
      </c>
      <c r="B312" t="s">
        <v>225</v>
      </c>
      <c r="C312" t="s">
        <v>228</v>
      </c>
      <c r="D312" t="s">
        <v>229</v>
      </c>
      <c r="E312" s="15" t="s">
        <v>664</v>
      </c>
      <c r="F312" t="s">
        <v>323</v>
      </c>
      <c r="G312" t="s">
        <v>30</v>
      </c>
      <c r="H312" t="s">
        <v>31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T312" t="s">
        <v>43</v>
      </c>
      <c r="U312" t="str">
        <f t="shared" si="17"/>
        <v/>
      </c>
      <c r="V312" t="str">
        <f t="shared" si="18"/>
        <v/>
      </c>
    </row>
    <row r="313" spans="1:22" x14ac:dyDescent="0.2">
      <c r="A313" t="s">
        <v>665</v>
      </c>
      <c r="B313" t="s">
        <v>225</v>
      </c>
      <c r="C313" t="s">
        <v>233</v>
      </c>
      <c r="D313" t="s">
        <v>234</v>
      </c>
      <c r="E313" s="15" t="s">
        <v>380</v>
      </c>
      <c r="F313" t="s">
        <v>323</v>
      </c>
      <c r="G313" t="s">
        <v>30</v>
      </c>
      <c r="H313" t="s">
        <v>31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T313" t="s">
        <v>43</v>
      </c>
      <c r="U313" t="str">
        <f t="shared" si="17"/>
        <v/>
      </c>
      <c r="V313" t="str">
        <f t="shared" si="18"/>
        <v/>
      </c>
    </row>
    <row r="314" spans="1:22" x14ac:dyDescent="0.2">
      <c r="A314" t="s">
        <v>666</v>
      </c>
      <c r="B314" t="s">
        <v>364</v>
      </c>
      <c r="C314" t="s">
        <v>382</v>
      </c>
      <c r="D314" t="s">
        <v>143</v>
      </c>
      <c r="E314" s="15" t="s">
        <v>418</v>
      </c>
      <c r="F314" t="s">
        <v>323</v>
      </c>
      <c r="G314" t="s">
        <v>30</v>
      </c>
      <c r="H314" t="s">
        <v>31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T314" t="s">
        <v>43</v>
      </c>
      <c r="U314" t="str">
        <f t="shared" si="17"/>
        <v/>
      </c>
      <c r="V314" t="str">
        <f t="shared" si="18"/>
        <v/>
      </c>
    </row>
    <row r="315" spans="1:22" x14ac:dyDescent="0.2">
      <c r="A315" t="s">
        <v>667</v>
      </c>
      <c r="B315" t="s">
        <v>357</v>
      </c>
      <c r="C315" t="s">
        <v>385</v>
      </c>
      <c r="D315" t="s">
        <v>367</v>
      </c>
      <c r="E315" s="15" t="s">
        <v>386</v>
      </c>
      <c r="F315" t="s">
        <v>323</v>
      </c>
      <c r="G315" t="s">
        <v>30</v>
      </c>
      <c r="H315" t="s">
        <v>31</v>
      </c>
      <c r="J315" s="11"/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T315" t="s">
        <v>43</v>
      </c>
      <c r="U315" t="str">
        <f t="shared" si="17"/>
        <v/>
      </c>
      <c r="V315" t="str">
        <f t="shared" si="18"/>
        <v/>
      </c>
    </row>
    <row r="316" spans="1:22" x14ac:dyDescent="0.2">
      <c r="A316" t="s">
        <v>668</v>
      </c>
      <c r="B316" t="s">
        <v>357</v>
      </c>
      <c r="C316" t="s">
        <v>388</v>
      </c>
      <c r="D316" t="s">
        <v>367</v>
      </c>
      <c r="E316" s="15" t="s">
        <v>389</v>
      </c>
      <c r="F316" t="s">
        <v>38</v>
      </c>
      <c r="G316" t="s">
        <v>30</v>
      </c>
      <c r="H316" t="s">
        <v>31</v>
      </c>
      <c r="I316" t="s">
        <v>341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T316" t="s">
        <v>43</v>
      </c>
      <c r="U316" t="str">
        <f t="shared" si="17"/>
        <v/>
      </c>
      <c r="V316" t="str">
        <f t="shared" si="18"/>
        <v>Ja</v>
      </c>
    </row>
    <row r="317" spans="1:22" x14ac:dyDescent="0.2">
      <c r="A317" t="s">
        <v>669</v>
      </c>
      <c r="B317" t="s">
        <v>357</v>
      </c>
      <c r="C317" t="s">
        <v>392</v>
      </c>
      <c r="D317" t="s">
        <v>367</v>
      </c>
      <c r="E317" s="15" t="s">
        <v>393</v>
      </c>
      <c r="F317" t="s">
        <v>323</v>
      </c>
      <c r="G317" t="s">
        <v>30</v>
      </c>
      <c r="H317" t="s">
        <v>31</v>
      </c>
      <c r="I317" t="str">
        <f>IF(J317&lt;&gt;"","UFDB","")</f>
        <v/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T317" t="s">
        <v>43</v>
      </c>
      <c r="U317" t="str">
        <f t="shared" si="17"/>
        <v/>
      </c>
      <c r="V317" t="str">
        <f t="shared" si="18"/>
        <v/>
      </c>
    </row>
    <row r="318" spans="1:22" x14ac:dyDescent="0.2">
      <c r="A318" t="s">
        <v>670</v>
      </c>
      <c r="B318" t="s">
        <v>357</v>
      </c>
      <c r="C318" t="s">
        <v>396</v>
      </c>
      <c r="D318" t="s">
        <v>36</v>
      </c>
      <c r="E318" s="15" t="s">
        <v>397</v>
      </c>
      <c r="F318" t="s">
        <v>323</v>
      </c>
      <c r="G318" t="s">
        <v>30</v>
      </c>
      <c r="H318" t="s">
        <v>31</v>
      </c>
      <c r="I318" t="s">
        <v>347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T318" t="s">
        <v>43</v>
      </c>
      <c r="U318" t="str">
        <f t="shared" si="17"/>
        <v/>
      </c>
      <c r="V318" t="str">
        <f t="shared" si="18"/>
        <v>Ja</v>
      </c>
    </row>
    <row r="319" spans="1:22" x14ac:dyDescent="0.2">
      <c r="A319" t="s">
        <v>671</v>
      </c>
      <c r="B319" t="s">
        <v>357</v>
      </c>
      <c r="C319" t="s">
        <v>399</v>
      </c>
      <c r="D319" t="s">
        <v>143</v>
      </c>
      <c r="E319" s="15" t="s">
        <v>400</v>
      </c>
      <c r="F319" t="s">
        <v>323</v>
      </c>
      <c r="G319" t="s">
        <v>30</v>
      </c>
      <c r="H319" t="s">
        <v>31</v>
      </c>
      <c r="I319" t="s">
        <v>351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T319" t="s">
        <v>43</v>
      </c>
      <c r="U319" t="str">
        <f t="shared" si="17"/>
        <v/>
      </c>
      <c r="V319" t="str">
        <f t="shared" si="18"/>
        <v>Ja</v>
      </c>
    </row>
    <row r="320" spans="1:22" x14ac:dyDescent="0.2">
      <c r="A320" t="s">
        <v>672</v>
      </c>
      <c r="B320" t="s">
        <v>354</v>
      </c>
      <c r="C320" t="s">
        <v>425</v>
      </c>
      <c r="D320" t="s">
        <v>357</v>
      </c>
      <c r="E320" s="15"/>
      <c r="G320" t="s">
        <v>30</v>
      </c>
      <c r="H320" t="s">
        <v>31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T320" t="s">
        <v>43</v>
      </c>
      <c r="U320" t="str">
        <f t="shared" si="17"/>
        <v/>
      </c>
      <c r="V320" t="str">
        <f t="shared" si="18"/>
        <v/>
      </c>
    </row>
    <row r="321" spans="1:22" x14ac:dyDescent="0.2">
      <c r="A321" t="s">
        <v>673</v>
      </c>
      <c r="B321" t="s">
        <v>357</v>
      </c>
      <c r="C321" t="s">
        <v>26</v>
      </c>
      <c r="D321" t="s">
        <v>27</v>
      </c>
      <c r="E321" s="15" t="s">
        <v>360</v>
      </c>
      <c r="G321" t="s">
        <v>139</v>
      </c>
      <c r="H321" t="s">
        <v>31</v>
      </c>
      <c r="I321" t="str">
        <f t="shared" ref="I321:I327" si="20">IF(J321&lt;&gt;"","UFDB","")</f>
        <v>UFDB</v>
      </c>
      <c r="J321" t="s">
        <v>674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T321" t="s">
        <v>43</v>
      </c>
      <c r="U321" t="str">
        <f t="shared" si="17"/>
        <v/>
      </c>
      <c r="V321" t="str">
        <f t="shared" si="18"/>
        <v>Ja</v>
      </c>
    </row>
    <row r="322" spans="1:22" x14ac:dyDescent="0.2">
      <c r="A322" t="s">
        <v>675</v>
      </c>
      <c r="B322" t="s">
        <v>357</v>
      </c>
      <c r="C322" t="s">
        <v>363</v>
      </c>
      <c r="D322" t="s">
        <v>364</v>
      </c>
      <c r="E322" s="15"/>
      <c r="F322" t="s">
        <v>29</v>
      </c>
      <c r="G322" t="s">
        <v>30</v>
      </c>
      <c r="H322" t="s">
        <v>31</v>
      </c>
      <c r="I322" t="str">
        <f t="shared" si="20"/>
        <v>UFDB</v>
      </c>
      <c r="J322" t="s">
        <v>676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T322" t="s">
        <v>43</v>
      </c>
      <c r="U322" t="str">
        <f t="shared" si="17"/>
        <v/>
      </c>
      <c r="V322" t="str">
        <f t="shared" si="18"/>
        <v>Ja</v>
      </c>
    </row>
    <row r="323" spans="1:22" x14ac:dyDescent="0.2">
      <c r="A323" t="s">
        <v>677</v>
      </c>
      <c r="B323" t="s">
        <v>364</v>
      </c>
      <c r="C323" t="s">
        <v>366</v>
      </c>
      <c r="D323" t="s">
        <v>367</v>
      </c>
      <c r="E323" s="15" t="s">
        <v>548</v>
      </c>
      <c r="F323" t="s">
        <v>323</v>
      </c>
      <c r="G323" t="s">
        <v>30</v>
      </c>
      <c r="H323" t="s">
        <v>31</v>
      </c>
      <c r="I323" t="str">
        <f t="shared" si="20"/>
        <v>UFDB</v>
      </c>
      <c r="J323" t="s">
        <v>678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T323" t="s">
        <v>43</v>
      </c>
      <c r="U323" t="str">
        <f t="shared" si="17"/>
        <v/>
      </c>
      <c r="V323" t="str">
        <f t="shared" si="18"/>
        <v>Ja</v>
      </c>
    </row>
    <row r="324" spans="1:22" x14ac:dyDescent="0.2">
      <c r="A324" t="s">
        <v>679</v>
      </c>
      <c r="B324" t="s">
        <v>364</v>
      </c>
      <c r="C324" t="s">
        <v>370</v>
      </c>
      <c r="D324" t="s">
        <v>225</v>
      </c>
      <c r="E324" s="15"/>
      <c r="F324" t="s">
        <v>323</v>
      </c>
      <c r="G324" t="s">
        <v>30</v>
      </c>
      <c r="H324" t="s">
        <v>31</v>
      </c>
      <c r="I324" t="str">
        <f t="shared" si="20"/>
        <v>UFDB</v>
      </c>
      <c r="J324" t="s">
        <v>680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T324" t="s">
        <v>43</v>
      </c>
      <c r="U324" t="str">
        <f t="shared" si="17"/>
        <v/>
      </c>
      <c r="V324" t="str">
        <f t="shared" si="18"/>
        <v>Ja</v>
      </c>
    </row>
    <row r="325" spans="1:22" x14ac:dyDescent="0.2">
      <c r="A325" t="s">
        <v>681</v>
      </c>
      <c r="B325" t="s">
        <v>225</v>
      </c>
      <c r="C325" t="s">
        <v>228</v>
      </c>
      <c r="D325" t="s">
        <v>229</v>
      </c>
      <c r="E325" s="15" t="s">
        <v>553</v>
      </c>
      <c r="F325" t="s">
        <v>323</v>
      </c>
      <c r="G325" t="s">
        <v>30</v>
      </c>
      <c r="H325" t="s">
        <v>31</v>
      </c>
      <c r="I325" t="str">
        <f t="shared" si="20"/>
        <v>UFDB</v>
      </c>
      <c r="J325" t="s">
        <v>682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T325" t="s">
        <v>43</v>
      </c>
      <c r="U325" t="str">
        <f t="shared" si="17"/>
        <v/>
      </c>
      <c r="V325" t="str">
        <f t="shared" si="18"/>
        <v>Ja</v>
      </c>
    </row>
    <row r="326" spans="1:22" x14ac:dyDescent="0.2">
      <c r="A326" t="s">
        <v>683</v>
      </c>
      <c r="B326" t="s">
        <v>225</v>
      </c>
      <c r="C326" t="s">
        <v>233</v>
      </c>
      <c r="D326" t="s">
        <v>234</v>
      </c>
      <c r="E326" s="15" t="s">
        <v>374</v>
      </c>
      <c r="F326" t="s">
        <v>323</v>
      </c>
      <c r="G326" t="s">
        <v>30</v>
      </c>
      <c r="H326" t="s">
        <v>31</v>
      </c>
      <c r="I326" t="str">
        <f t="shared" si="20"/>
        <v>UFDB</v>
      </c>
      <c r="J326" t="s">
        <v>684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T326" t="s">
        <v>43</v>
      </c>
      <c r="U326" t="str">
        <f t="shared" si="17"/>
        <v/>
      </c>
      <c r="V326" t="str">
        <f t="shared" si="18"/>
        <v>Ja</v>
      </c>
    </row>
    <row r="327" spans="1:22" x14ac:dyDescent="0.2">
      <c r="A327" t="s">
        <v>685</v>
      </c>
      <c r="B327" t="s">
        <v>364</v>
      </c>
      <c r="C327" t="s">
        <v>370</v>
      </c>
      <c r="D327" t="s">
        <v>225</v>
      </c>
      <c r="E327" s="15"/>
      <c r="F327" t="s">
        <v>323</v>
      </c>
      <c r="G327" t="s">
        <v>30</v>
      </c>
      <c r="H327" t="s">
        <v>31</v>
      </c>
      <c r="I327" t="str">
        <f t="shared" si="20"/>
        <v>UFDB</v>
      </c>
      <c r="J327" t="s">
        <v>686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T327" t="s">
        <v>43</v>
      </c>
      <c r="U327" t="str">
        <f t="shared" si="17"/>
        <v/>
      </c>
      <c r="V327" t="str">
        <f t="shared" si="18"/>
        <v>Ja</v>
      </c>
    </row>
    <row r="328" spans="1:22" x14ac:dyDescent="0.2">
      <c r="A328" t="s">
        <v>687</v>
      </c>
      <c r="B328" t="s">
        <v>225</v>
      </c>
      <c r="C328" t="s">
        <v>228</v>
      </c>
      <c r="D328" t="s">
        <v>229</v>
      </c>
      <c r="E328" s="15" t="s">
        <v>597</v>
      </c>
      <c r="F328" t="s">
        <v>38</v>
      </c>
      <c r="G328" t="s">
        <v>30</v>
      </c>
      <c r="H328" t="s">
        <v>31</v>
      </c>
      <c r="I328" t="s">
        <v>341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T328" t="s">
        <v>43</v>
      </c>
      <c r="U328" t="str">
        <f t="shared" si="17"/>
        <v/>
      </c>
      <c r="V328" t="str">
        <f t="shared" si="18"/>
        <v>Ja</v>
      </c>
    </row>
    <row r="329" spans="1:22" x14ac:dyDescent="0.2">
      <c r="A329" t="s">
        <v>688</v>
      </c>
      <c r="B329" t="s">
        <v>225</v>
      </c>
      <c r="C329" t="s">
        <v>233</v>
      </c>
      <c r="D329" t="s">
        <v>234</v>
      </c>
      <c r="E329" s="15" t="s">
        <v>380</v>
      </c>
      <c r="F329" t="s">
        <v>323</v>
      </c>
      <c r="G329" t="s">
        <v>30</v>
      </c>
      <c r="H329" t="s">
        <v>31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43</v>
      </c>
      <c r="T329" t="s">
        <v>43</v>
      </c>
      <c r="U329" t="str">
        <f t="shared" si="17"/>
        <v/>
      </c>
      <c r="V329" t="str">
        <f t="shared" si="18"/>
        <v/>
      </c>
    </row>
    <row r="330" spans="1:22" x14ac:dyDescent="0.2">
      <c r="A330" t="s">
        <v>689</v>
      </c>
      <c r="B330" t="s">
        <v>364</v>
      </c>
      <c r="C330" t="s">
        <v>382</v>
      </c>
      <c r="D330" t="s">
        <v>143</v>
      </c>
      <c r="E330" s="15" t="s">
        <v>383</v>
      </c>
      <c r="F330" t="s">
        <v>323</v>
      </c>
      <c r="G330" t="s">
        <v>30</v>
      </c>
      <c r="H330" t="s">
        <v>31</v>
      </c>
      <c r="I330" t="s">
        <v>347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43</v>
      </c>
      <c r="T330" t="s">
        <v>43</v>
      </c>
      <c r="U330" t="str">
        <f t="shared" si="17"/>
        <v/>
      </c>
      <c r="V330" t="str">
        <f t="shared" si="18"/>
        <v>Ja</v>
      </c>
    </row>
    <row r="331" spans="1:22" x14ac:dyDescent="0.2">
      <c r="A331" t="s">
        <v>690</v>
      </c>
      <c r="B331" t="s">
        <v>357</v>
      </c>
      <c r="C331" t="s">
        <v>385</v>
      </c>
      <c r="D331" t="s">
        <v>367</v>
      </c>
      <c r="E331" s="15" t="s">
        <v>386</v>
      </c>
      <c r="F331" t="s">
        <v>323</v>
      </c>
      <c r="G331" t="s">
        <v>30</v>
      </c>
      <c r="H331" t="s">
        <v>31</v>
      </c>
      <c r="I331" t="s">
        <v>351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T331" t="s">
        <v>43</v>
      </c>
      <c r="U331" t="str">
        <f t="shared" si="17"/>
        <v/>
      </c>
      <c r="V331" t="str">
        <f t="shared" si="18"/>
        <v>Ja</v>
      </c>
    </row>
    <row r="332" spans="1:22" x14ac:dyDescent="0.2">
      <c r="A332" t="s">
        <v>691</v>
      </c>
      <c r="B332" t="s">
        <v>357</v>
      </c>
      <c r="C332" t="s">
        <v>388</v>
      </c>
      <c r="D332" t="s">
        <v>367</v>
      </c>
      <c r="E332" s="15" t="s">
        <v>389</v>
      </c>
      <c r="G332" t="s">
        <v>30</v>
      </c>
      <c r="H332" t="s">
        <v>31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T332" t="s">
        <v>43</v>
      </c>
      <c r="U332" t="str">
        <f t="shared" si="17"/>
        <v/>
      </c>
      <c r="V332" t="str">
        <f t="shared" si="18"/>
        <v/>
      </c>
    </row>
    <row r="333" spans="1:22" x14ac:dyDescent="0.2">
      <c r="A333" t="s">
        <v>692</v>
      </c>
      <c r="B333" t="s">
        <v>357</v>
      </c>
      <c r="C333" t="s">
        <v>392</v>
      </c>
      <c r="D333" t="s">
        <v>367</v>
      </c>
      <c r="E333" s="15" t="s">
        <v>393</v>
      </c>
      <c r="G333" t="s">
        <v>139</v>
      </c>
      <c r="H333" t="s">
        <v>31</v>
      </c>
      <c r="I333" t="str">
        <f>IF(J333&lt;&gt;"","UFDB","")</f>
        <v>UFDB</v>
      </c>
      <c r="J333" t="s">
        <v>693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T333" t="s">
        <v>43</v>
      </c>
      <c r="U333" t="str">
        <f t="shared" si="17"/>
        <v/>
      </c>
      <c r="V333" t="str">
        <f t="shared" si="18"/>
        <v>Ja</v>
      </c>
    </row>
    <row r="334" spans="1:22" x14ac:dyDescent="0.2">
      <c r="A334" t="s">
        <v>694</v>
      </c>
      <c r="B334" t="s">
        <v>357</v>
      </c>
      <c r="C334" t="s">
        <v>396</v>
      </c>
      <c r="D334" t="s">
        <v>36</v>
      </c>
      <c r="E334" s="15" t="s">
        <v>443</v>
      </c>
      <c r="F334" t="s">
        <v>29</v>
      </c>
      <c r="G334" t="s">
        <v>30</v>
      </c>
      <c r="H334" t="s">
        <v>31</v>
      </c>
      <c r="I334" t="str">
        <f>IF(J334&lt;&gt;"","UFDB","")</f>
        <v>UFDB</v>
      </c>
      <c r="J334" t="s">
        <v>695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T334" t="s">
        <v>43</v>
      </c>
      <c r="U334" t="str">
        <f t="shared" si="17"/>
        <v/>
      </c>
      <c r="V334" t="str">
        <f t="shared" si="18"/>
        <v>Ja</v>
      </c>
    </row>
    <row r="335" spans="1:22" x14ac:dyDescent="0.2">
      <c r="A335" t="s">
        <v>696</v>
      </c>
      <c r="B335" t="s">
        <v>357</v>
      </c>
      <c r="C335" t="s">
        <v>399</v>
      </c>
      <c r="D335" t="s">
        <v>143</v>
      </c>
      <c r="E335" s="15" t="s">
        <v>400</v>
      </c>
      <c r="F335" t="s">
        <v>323</v>
      </c>
      <c r="G335" t="s">
        <v>30</v>
      </c>
      <c r="H335" t="s">
        <v>31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T335" t="s">
        <v>43</v>
      </c>
      <c r="U335" t="str">
        <f t="shared" si="17"/>
        <v/>
      </c>
      <c r="V335" t="str">
        <f t="shared" si="18"/>
        <v/>
      </c>
    </row>
    <row r="336" spans="1:22" x14ac:dyDescent="0.2">
      <c r="A336" t="s">
        <v>697</v>
      </c>
      <c r="B336" t="s">
        <v>354</v>
      </c>
      <c r="C336" t="s">
        <v>446</v>
      </c>
      <c r="D336" t="s">
        <v>357</v>
      </c>
      <c r="E336" s="15"/>
      <c r="F336" t="s">
        <v>323</v>
      </c>
      <c r="G336" t="s">
        <v>30</v>
      </c>
      <c r="H336" t="s">
        <v>31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T336" t="s">
        <v>43</v>
      </c>
      <c r="U336" t="str">
        <f t="shared" ref="U336:U399" si="21">IF(AND(COUNTIF($K336:$R336,"Ja")&gt;0,OR($I336="",AND($I336="UFDB",$J336=""))),"Ja","")</f>
        <v/>
      </c>
      <c r="V336" t="str">
        <f t="shared" ref="V336:V399" si="22">IF(AND(COUNTIF($K336:$R336,"Ja")=0,$I336&lt;&gt;""),"Ja","")</f>
        <v/>
      </c>
    </row>
    <row r="337" spans="1:22" x14ac:dyDescent="0.2">
      <c r="A337" t="s">
        <v>698</v>
      </c>
      <c r="B337" t="s">
        <v>357</v>
      </c>
      <c r="C337" t="s">
        <v>26</v>
      </c>
      <c r="D337" t="s">
        <v>27</v>
      </c>
      <c r="E337" s="15" t="s">
        <v>360</v>
      </c>
      <c r="F337" t="s">
        <v>323</v>
      </c>
      <c r="G337" t="s">
        <v>30</v>
      </c>
      <c r="H337" t="s">
        <v>31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T337" t="s">
        <v>43</v>
      </c>
      <c r="U337" t="str">
        <f t="shared" si="21"/>
        <v/>
      </c>
      <c r="V337" t="str">
        <f t="shared" si="22"/>
        <v/>
      </c>
    </row>
    <row r="338" spans="1:22" x14ac:dyDescent="0.2">
      <c r="A338" t="s">
        <v>699</v>
      </c>
      <c r="B338" t="s">
        <v>357</v>
      </c>
      <c r="C338" t="s">
        <v>363</v>
      </c>
      <c r="D338" t="s">
        <v>364</v>
      </c>
      <c r="E338" s="15"/>
      <c r="F338" t="s">
        <v>323</v>
      </c>
      <c r="G338" t="s">
        <v>30</v>
      </c>
      <c r="H338" t="s">
        <v>31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T338" t="s">
        <v>43</v>
      </c>
      <c r="U338" t="str">
        <f t="shared" si="21"/>
        <v/>
      </c>
      <c r="V338" t="str">
        <f t="shared" si="22"/>
        <v/>
      </c>
    </row>
    <row r="339" spans="1:22" x14ac:dyDescent="0.2">
      <c r="A339" t="s">
        <v>700</v>
      </c>
      <c r="B339" t="s">
        <v>364</v>
      </c>
      <c r="C339" t="s">
        <v>366</v>
      </c>
      <c r="D339" t="s">
        <v>367</v>
      </c>
      <c r="E339" s="15" t="s">
        <v>548</v>
      </c>
      <c r="F339" t="s">
        <v>323</v>
      </c>
      <c r="G339" t="s">
        <v>30</v>
      </c>
      <c r="H339" t="s">
        <v>31</v>
      </c>
      <c r="J339" s="11"/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T339" t="s">
        <v>43</v>
      </c>
      <c r="U339" t="str">
        <f t="shared" si="21"/>
        <v/>
      </c>
      <c r="V339" t="str">
        <f t="shared" si="22"/>
        <v/>
      </c>
    </row>
    <row r="340" spans="1:22" x14ac:dyDescent="0.2">
      <c r="A340" t="s">
        <v>701</v>
      </c>
      <c r="B340" t="s">
        <v>364</v>
      </c>
      <c r="C340" t="s">
        <v>370</v>
      </c>
      <c r="D340" t="s">
        <v>225</v>
      </c>
      <c r="E340" s="15"/>
      <c r="F340" t="s">
        <v>38</v>
      </c>
      <c r="G340" t="s">
        <v>30</v>
      </c>
      <c r="H340" t="s">
        <v>31</v>
      </c>
      <c r="I340" t="s">
        <v>341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T340" t="s">
        <v>43</v>
      </c>
      <c r="U340" t="str">
        <f t="shared" si="21"/>
        <v/>
      </c>
      <c r="V340" t="str">
        <f t="shared" si="22"/>
        <v>Ja</v>
      </c>
    </row>
    <row r="341" spans="1:22" x14ac:dyDescent="0.2">
      <c r="A341" t="s">
        <v>702</v>
      </c>
      <c r="B341" t="s">
        <v>225</v>
      </c>
      <c r="C341" t="s">
        <v>228</v>
      </c>
      <c r="D341" t="s">
        <v>229</v>
      </c>
      <c r="E341" s="15" t="s">
        <v>553</v>
      </c>
      <c r="F341" t="s">
        <v>323</v>
      </c>
      <c r="G341" t="s">
        <v>30</v>
      </c>
      <c r="H341" t="s">
        <v>31</v>
      </c>
      <c r="I341" t="str">
        <f>IF(J341&lt;&gt;"","UFDB","")</f>
        <v>UFDB</v>
      </c>
      <c r="J341" t="s">
        <v>703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T341" t="s">
        <v>43</v>
      </c>
      <c r="U341" t="str">
        <f t="shared" si="21"/>
        <v/>
      </c>
      <c r="V341" t="str">
        <f t="shared" si="22"/>
        <v>Ja</v>
      </c>
    </row>
    <row r="342" spans="1:22" x14ac:dyDescent="0.2">
      <c r="A342" t="s">
        <v>704</v>
      </c>
      <c r="B342" t="s">
        <v>225</v>
      </c>
      <c r="C342" t="s">
        <v>233</v>
      </c>
      <c r="D342" t="s">
        <v>234</v>
      </c>
      <c r="E342" s="15" t="s">
        <v>374</v>
      </c>
      <c r="F342" t="s">
        <v>323</v>
      </c>
      <c r="G342" t="s">
        <v>30</v>
      </c>
      <c r="H342" t="s">
        <v>31</v>
      </c>
      <c r="I342" t="s">
        <v>347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T342" t="s">
        <v>43</v>
      </c>
      <c r="U342" t="str">
        <f t="shared" si="21"/>
        <v/>
      </c>
      <c r="V342" t="str">
        <f t="shared" si="22"/>
        <v>Ja</v>
      </c>
    </row>
    <row r="343" spans="1:22" x14ac:dyDescent="0.2">
      <c r="A343" t="s">
        <v>705</v>
      </c>
      <c r="B343" t="s">
        <v>364</v>
      </c>
      <c r="C343" t="s">
        <v>370</v>
      </c>
      <c r="D343" t="s">
        <v>225</v>
      </c>
      <c r="E343" s="15"/>
      <c r="F343" t="s">
        <v>323</v>
      </c>
      <c r="G343" t="s">
        <v>30</v>
      </c>
      <c r="H343" t="s">
        <v>31</v>
      </c>
      <c r="I343" t="s">
        <v>351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T343" t="s">
        <v>43</v>
      </c>
      <c r="U343" t="str">
        <f t="shared" si="21"/>
        <v/>
      </c>
      <c r="V343" t="str">
        <f t="shared" si="22"/>
        <v>Ja</v>
      </c>
    </row>
    <row r="344" spans="1:22" x14ac:dyDescent="0.2">
      <c r="A344" t="s">
        <v>706</v>
      </c>
      <c r="B344" t="s">
        <v>225</v>
      </c>
      <c r="C344" t="s">
        <v>228</v>
      </c>
      <c r="D344" t="s">
        <v>229</v>
      </c>
      <c r="E344" s="15" t="s">
        <v>620</v>
      </c>
      <c r="G344" t="s">
        <v>30</v>
      </c>
      <c r="H344" t="s">
        <v>31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T344" t="s">
        <v>43</v>
      </c>
      <c r="U344" t="str">
        <f t="shared" si="21"/>
        <v/>
      </c>
      <c r="V344" t="str">
        <f t="shared" si="22"/>
        <v/>
      </c>
    </row>
    <row r="345" spans="1:22" x14ac:dyDescent="0.2">
      <c r="A345" t="s">
        <v>707</v>
      </c>
      <c r="B345" t="s">
        <v>225</v>
      </c>
      <c r="C345" t="s">
        <v>233</v>
      </c>
      <c r="D345" t="s">
        <v>234</v>
      </c>
      <c r="E345" s="15" t="s">
        <v>380</v>
      </c>
      <c r="G345" t="s">
        <v>139</v>
      </c>
      <c r="H345" t="s">
        <v>31</v>
      </c>
      <c r="I345" t="str">
        <f>IF(J345&lt;&gt;"","UFDB","")</f>
        <v>UFDB</v>
      </c>
      <c r="J345" t="s">
        <v>708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T345" t="s">
        <v>43</v>
      </c>
      <c r="U345" t="str">
        <f t="shared" si="21"/>
        <v/>
      </c>
      <c r="V345" t="str">
        <f t="shared" si="22"/>
        <v>Ja</v>
      </c>
    </row>
    <row r="346" spans="1:22" x14ac:dyDescent="0.2">
      <c r="A346" t="s">
        <v>709</v>
      </c>
      <c r="B346" t="s">
        <v>364</v>
      </c>
      <c r="C346" t="s">
        <v>382</v>
      </c>
      <c r="D346" t="s">
        <v>143</v>
      </c>
      <c r="E346" s="15" t="s">
        <v>383</v>
      </c>
      <c r="F346" t="s">
        <v>29</v>
      </c>
      <c r="G346" t="s">
        <v>30</v>
      </c>
      <c r="H346" t="s">
        <v>31</v>
      </c>
      <c r="I346" t="str">
        <f>IF(J346&lt;&gt;"","UFDB","")</f>
        <v>UFDB</v>
      </c>
      <c r="J346" t="s">
        <v>710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T346" t="s">
        <v>43</v>
      </c>
      <c r="U346" t="str">
        <f t="shared" si="21"/>
        <v/>
      </c>
      <c r="V346" t="str">
        <f t="shared" si="22"/>
        <v>Ja</v>
      </c>
    </row>
    <row r="347" spans="1:22" x14ac:dyDescent="0.2">
      <c r="A347" t="s">
        <v>711</v>
      </c>
      <c r="B347" t="s">
        <v>357</v>
      </c>
      <c r="C347" t="s">
        <v>385</v>
      </c>
      <c r="D347" t="s">
        <v>367</v>
      </c>
      <c r="E347" s="15" t="s">
        <v>386</v>
      </c>
      <c r="F347" t="s">
        <v>323</v>
      </c>
      <c r="G347" t="s">
        <v>30</v>
      </c>
      <c r="H347" t="s">
        <v>31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T347" t="s">
        <v>43</v>
      </c>
      <c r="U347" t="str">
        <f t="shared" si="21"/>
        <v/>
      </c>
      <c r="V347" t="str">
        <f t="shared" si="22"/>
        <v/>
      </c>
    </row>
    <row r="348" spans="1:22" x14ac:dyDescent="0.2">
      <c r="A348" t="s">
        <v>712</v>
      </c>
      <c r="B348" t="s">
        <v>357</v>
      </c>
      <c r="C348" t="s">
        <v>388</v>
      </c>
      <c r="D348" t="s">
        <v>367</v>
      </c>
      <c r="E348" s="15" t="s">
        <v>389</v>
      </c>
      <c r="F348" t="s">
        <v>323</v>
      </c>
      <c r="G348" t="s">
        <v>30</v>
      </c>
      <c r="H348" t="s">
        <v>31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T348" t="s">
        <v>43</v>
      </c>
      <c r="U348" t="str">
        <f t="shared" si="21"/>
        <v/>
      </c>
      <c r="V348" t="str">
        <f t="shared" si="22"/>
        <v/>
      </c>
    </row>
    <row r="349" spans="1:22" x14ac:dyDescent="0.2">
      <c r="A349" t="s">
        <v>713</v>
      </c>
      <c r="B349" t="s">
        <v>357</v>
      </c>
      <c r="C349" t="s">
        <v>392</v>
      </c>
      <c r="D349" t="s">
        <v>367</v>
      </c>
      <c r="E349" s="15" t="s">
        <v>393</v>
      </c>
      <c r="F349" t="s">
        <v>323</v>
      </c>
      <c r="G349" t="s">
        <v>30</v>
      </c>
      <c r="H349" t="s">
        <v>31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T349" t="s">
        <v>43</v>
      </c>
      <c r="U349" t="str">
        <f t="shared" si="21"/>
        <v/>
      </c>
      <c r="V349" t="str">
        <f t="shared" si="22"/>
        <v/>
      </c>
    </row>
    <row r="350" spans="1:22" x14ac:dyDescent="0.2">
      <c r="A350" t="s">
        <v>714</v>
      </c>
      <c r="B350" t="s">
        <v>357</v>
      </c>
      <c r="C350" t="s">
        <v>396</v>
      </c>
      <c r="D350" t="s">
        <v>36</v>
      </c>
      <c r="E350" s="15" t="s">
        <v>397</v>
      </c>
      <c r="F350" t="s">
        <v>323</v>
      </c>
      <c r="G350" t="s">
        <v>30</v>
      </c>
      <c r="H350" t="s">
        <v>31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T350" t="s">
        <v>43</v>
      </c>
      <c r="U350" t="str">
        <f t="shared" si="21"/>
        <v/>
      </c>
      <c r="V350" t="str">
        <f t="shared" si="22"/>
        <v/>
      </c>
    </row>
    <row r="351" spans="1:22" x14ac:dyDescent="0.2">
      <c r="A351" t="s">
        <v>715</v>
      </c>
      <c r="B351" t="s">
        <v>357</v>
      </c>
      <c r="C351" t="s">
        <v>399</v>
      </c>
      <c r="D351" t="s">
        <v>143</v>
      </c>
      <c r="E351" s="15" t="s">
        <v>400</v>
      </c>
      <c r="F351" t="s">
        <v>323</v>
      </c>
      <c r="G351" t="s">
        <v>30</v>
      </c>
      <c r="H351" t="s">
        <v>31</v>
      </c>
      <c r="J351" s="11"/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T351" t="s">
        <v>43</v>
      </c>
      <c r="U351" t="str">
        <f t="shared" si="21"/>
        <v/>
      </c>
      <c r="V351" t="str">
        <f t="shared" si="22"/>
        <v/>
      </c>
    </row>
    <row r="352" spans="1:22" x14ac:dyDescent="0.2">
      <c r="A352" t="s">
        <v>716</v>
      </c>
      <c r="B352" t="s">
        <v>350</v>
      </c>
      <c r="C352" t="s">
        <v>717</v>
      </c>
      <c r="D352" t="s">
        <v>354</v>
      </c>
      <c r="E352" s="15"/>
      <c r="F352" t="s">
        <v>38</v>
      </c>
      <c r="G352" t="s">
        <v>30</v>
      </c>
      <c r="H352" t="s">
        <v>31</v>
      </c>
      <c r="I352" t="s">
        <v>341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T352" t="s">
        <v>43</v>
      </c>
      <c r="U352" t="str">
        <f t="shared" si="21"/>
        <v/>
      </c>
      <c r="V352" t="str">
        <f t="shared" si="22"/>
        <v>Ja</v>
      </c>
    </row>
    <row r="353" spans="1:22" x14ac:dyDescent="0.2">
      <c r="A353" t="s">
        <v>718</v>
      </c>
      <c r="B353" t="s">
        <v>354</v>
      </c>
      <c r="C353" t="s">
        <v>356</v>
      </c>
      <c r="D353" t="s">
        <v>357</v>
      </c>
      <c r="E353" s="15"/>
      <c r="F353" t="s">
        <v>323</v>
      </c>
      <c r="G353" t="s">
        <v>30</v>
      </c>
      <c r="H353" t="s">
        <v>31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T353" t="s">
        <v>43</v>
      </c>
      <c r="U353" t="str">
        <f t="shared" si="21"/>
        <v/>
      </c>
      <c r="V353" t="str">
        <f t="shared" si="22"/>
        <v/>
      </c>
    </row>
    <row r="354" spans="1:22" x14ac:dyDescent="0.2">
      <c r="A354" t="s">
        <v>719</v>
      </c>
      <c r="B354" t="s">
        <v>357</v>
      </c>
      <c r="C354" t="s">
        <v>26</v>
      </c>
      <c r="D354" t="s">
        <v>27</v>
      </c>
      <c r="E354" s="15" t="s">
        <v>360</v>
      </c>
      <c r="F354" t="s">
        <v>323</v>
      </c>
      <c r="G354" t="s">
        <v>30</v>
      </c>
      <c r="H354" t="s">
        <v>31</v>
      </c>
      <c r="I354" t="s">
        <v>347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T354" t="s">
        <v>43</v>
      </c>
      <c r="U354" t="str">
        <f t="shared" si="21"/>
        <v/>
      </c>
      <c r="V354" t="str">
        <f t="shared" si="22"/>
        <v>Ja</v>
      </c>
    </row>
    <row r="355" spans="1:22" x14ac:dyDescent="0.2">
      <c r="A355" t="s">
        <v>720</v>
      </c>
      <c r="B355" t="s">
        <v>357</v>
      </c>
      <c r="C355" t="s">
        <v>363</v>
      </c>
      <c r="D355" t="s">
        <v>364</v>
      </c>
      <c r="E355" s="15"/>
      <c r="F355" t="s">
        <v>323</v>
      </c>
      <c r="G355" t="s">
        <v>30</v>
      </c>
      <c r="H355" t="s">
        <v>31</v>
      </c>
      <c r="I355" t="s">
        <v>351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T355" t="s">
        <v>43</v>
      </c>
      <c r="U355" t="str">
        <f t="shared" si="21"/>
        <v/>
      </c>
      <c r="V355" t="str">
        <f t="shared" si="22"/>
        <v>Ja</v>
      </c>
    </row>
    <row r="356" spans="1:22" x14ac:dyDescent="0.2">
      <c r="A356" t="s">
        <v>721</v>
      </c>
      <c r="B356" t="s">
        <v>364</v>
      </c>
      <c r="C356" t="s">
        <v>366</v>
      </c>
      <c r="D356" t="s">
        <v>367</v>
      </c>
      <c r="E356" s="15" t="s">
        <v>368</v>
      </c>
      <c r="G356" t="s">
        <v>30</v>
      </c>
      <c r="H356" t="s">
        <v>31</v>
      </c>
      <c r="I356" t="str">
        <f>IF(J356&lt;&gt;"","UFDB","")</f>
        <v>UFDB</v>
      </c>
      <c r="J356" t="s">
        <v>722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T356" t="s">
        <v>43</v>
      </c>
      <c r="U356" t="str">
        <f t="shared" si="21"/>
        <v/>
      </c>
      <c r="V356" t="str">
        <f t="shared" si="22"/>
        <v>Ja</v>
      </c>
    </row>
    <row r="357" spans="1:22" x14ac:dyDescent="0.2">
      <c r="A357" t="s">
        <v>723</v>
      </c>
      <c r="B357" t="s">
        <v>364</v>
      </c>
      <c r="C357" t="s">
        <v>370</v>
      </c>
      <c r="D357" t="s">
        <v>225</v>
      </c>
      <c r="E357" s="15"/>
      <c r="G357" t="s">
        <v>139</v>
      </c>
      <c r="H357" t="s">
        <v>31</v>
      </c>
      <c r="I357" t="str">
        <f>IF(J357&lt;&gt;"","UFDB","")</f>
        <v>UFDB</v>
      </c>
      <c r="J357" t="s">
        <v>724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T357" t="s">
        <v>43</v>
      </c>
      <c r="U357" t="str">
        <f t="shared" si="21"/>
        <v/>
      </c>
      <c r="V357" t="str">
        <f t="shared" si="22"/>
        <v>Ja</v>
      </c>
    </row>
    <row r="358" spans="1:22" x14ac:dyDescent="0.2">
      <c r="A358" t="s">
        <v>725</v>
      </c>
      <c r="B358" t="s">
        <v>225</v>
      </c>
      <c r="C358" t="s">
        <v>228</v>
      </c>
      <c r="D358" t="s">
        <v>229</v>
      </c>
      <c r="E358" s="15" t="s">
        <v>372</v>
      </c>
      <c r="F358" t="s">
        <v>29</v>
      </c>
      <c r="G358" t="s">
        <v>30</v>
      </c>
      <c r="H358" t="s">
        <v>31</v>
      </c>
      <c r="I358" t="str">
        <f>IF(J358&lt;&gt;"","UFDB","")</f>
        <v>UFDB</v>
      </c>
      <c r="J358" t="s">
        <v>726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T358" t="s">
        <v>43</v>
      </c>
      <c r="U358" t="str">
        <f t="shared" si="21"/>
        <v/>
      </c>
      <c r="V358" t="str">
        <f t="shared" si="22"/>
        <v>Ja</v>
      </c>
    </row>
    <row r="359" spans="1:22" x14ac:dyDescent="0.2">
      <c r="A359" t="s">
        <v>727</v>
      </c>
      <c r="B359" t="s">
        <v>225</v>
      </c>
      <c r="C359" t="s">
        <v>233</v>
      </c>
      <c r="D359" t="s">
        <v>234</v>
      </c>
      <c r="E359" s="15" t="s">
        <v>374</v>
      </c>
      <c r="F359" t="s">
        <v>323</v>
      </c>
      <c r="G359" t="s">
        <v>30</v>
      </c>
      <c r="H359" t="s">
        <v>31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T359" t="s">
        <v>43</v>
      </c>
      <c r="U359" t="str">
        <f t="shared" si="21"/>
        <v/>
      </c>
      <c r="V359" t="str">
        <f t="shared" si="22"/>
        <v/>
      </c>
    </row>
    <row r="360" spans="1:22" x14ac:dyDescent="0.2">
      <c r="A360" t="s">
        <v>728</v>
      </c>
      <c r="B360" t="s">
        <v>364</v>
      </c>
      <c r="C360" t="s">
        <v>370</v>
      </c>
      <c r="D360" t="s">
        <v>225</v>
      </c>
      <c r="E360" s="15"/>
      <c r="F360" t="s">
        <v>323</v>
      </c>
      <c r="G360" t="s">
        <v>30</v>
      </c>
      <c r="H360" t="s">
        <v>31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T360" t="s">
        <v>43</v>
      </c>
      <c r="U360" t="str">
        <f t="shared" si="21"/>
        <v/>
      </c>
      <c r="V360" t="str">
        <f t="shared" si="22"/>
        <v/>
      </c>
    </row>
    <row r="361" spans="1:22" x14ac:dyDescent="0.2">
      <c r="A361" t="s">
        <v>729</v>
      </c>
      <c r="B361" t="s">
        <v>225</v>
      </c>
      <c r="C361" t="s">
        <v>228</v>
      </c>
      <c r="D361" t="s">
        <v>229</v>
      </c>
      <c r="E361" s="15" t="s">
        <v>475</v>
      </c>
      <c r="F361" t="s">
        <v>323</v>
      </c>
      <c r="G361" t="s">
        <v>30</v>
      </c>
      <c r="H361" t="s">
        <v>31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T361" t="s">
        <v>43</v>
      </c>
      <c r="U361" t="str">
        <f t="shared" si="21"/>
        <v/>
      </c>
      <c r="V361" t="str">
        <f t="shared" si="22"/>
        <v/>
      </c>
    </row>
    <row r="362" spans="1:22" x14ac:dyDescent="0.2">
      <c r="A362" t="s">
        <v>730</v>
      </c>
      <c r="B362" t="s">
        <v>225</v>
      </c>
      <c r="C362" t="s">
        <v>233</v>
      </c>
      <c r="D362" t="s">
        <v>234</v>
      </c>
      <c r="E362" s="15" t="s">
        <v>380</v>
      </c>
      <c r="F362" t="s">
        <v>323</v>
      </c>
      <c r="G362" t="s">
        <v>30</v>
      </c>
      <c r="H362" t="s">
        <v>31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T362" t="s">
        <v>43</v>
      </c>
      <c r="U362" t="str">
        <f t="shared" si="21"/>
        <v/>
      </c>
      <c r="V362" t="str">
        <f t="shared" si="22"/>
        <v/>
      </c>
    </row>
    <row r="363" spans="1:22" x14ac:dyDescent="0.2">
      <c r="A363" t="s">
        <v>731</v>
      </c>
      <c r="B363" t="s">
        <v>364</v>
      </c>
      <c r="C363" t="s">
        <v>382</v>
      </c>
      <c r="D363" t="s">
        <v>143</v>
      </c>
      <c r="E363" s="15" t="s">
        <v>383</v>
      </c>
      <c r="F363" t="s">
        <v>323</v>
      </c>
      <c r="G363" t="s">
        <v>30</v>
      </c>
      <c r="H363" t="s">
        <v>31</v>
      </c>
      <c r="J363" s="11"/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T363" t="s">
        <v>43</v>
      </c>
      <c r="U363" t="str">
        <f t="shared" si="21"/>
        <v/>
      </c>
      <c r="V363" t="str">
        <f t="shared" si="22"/>
        <v/>
      </c>
    </row>
    <row r="364" spans="1:22" x14ac:dyDescent="0.2">
      <c r="A364" t="s">
        <v>732</v>
      </c>
      <c r="B364" t="s">
        <v>357</v>
      </c>
      <c r="C364" t="s">
        <v>385</v>
      </c>
      <c r="D364" t="s">
        <v>367</v>
      </c>
      <c r="E364" s="15" t="s">
        <v>386</v>
      </c>
      <c r="F364" t="s">
        <v>38</v>
      </c>
      <c r="G364" t="s">
        <v>30</v>
      </c>
      <c r="H364" t="s">
        <v>31</v>
      </c>
      <c r="I364" t="s">
        <v>341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43</v>
      </c>
      <c r="T364" t="s">
        <v>43</v>
      </c>
      <c r="U364" t="str">
        <f t="shared" si="21"/>
        <v/>
      </c>
      <c r="V364" t="str">
        <f t="shared" si="22"/>
        <v>Ja</v>
      </c>
    </row>
    <row r="365" spans="1:22" x14ac:dyDescent="0.2">
      <c r="A365" t="s">
        <v>733</v>
      </c>
      <c r="B365" t="s">
        <v>357</v>
      </c>
      <c r="C365" t="s">
        <v>388</v>
      </c>
      <c r="D365" t="s">
        <v>367</v>
      </c>
      <c r="E365" s="15" t="s">
        <v>389</v>
      </c>
      <c r="F365" t="s">
        <v>323</v>
      </c>
      <c r="G365" t="s">
        <v>30</v>
      </c>
      <c r="H365" t="s">
        <v>31</v>
      </c>
      <c r="I365" t="str">
        <f>IF(J365&lt;&gt;"","UFDB","")</f>
        <v/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43</v>
      </c>
      <c r="T365" t="s">
        <v>43</v>
      </c>
      <c r="U365" t="str">
        <f t="shared" si="21"/>
        <v/>
      </c>
      <c r="V365" t="str">
        <f t="shared" si="22"/>
        <v/>
      </c>
    </row>
    <row r="366" spans="1:22" x14ac:dyDescent="0.2">
      <c r="A366" t="s">
        <v>734</v>
      </c>
      <c r="B366" t="s">
        <v>357</v>
      </c>
      <c r="C366" t="s">
        <v>392</v>
      </c>
      <c r="D366" t="s">
        <v>367</v>
      </c>
      <c r="E366" s="15" t="s">
        <v>393</v>
      </c>
      <c r="F366" t="s">
        <v>323</v>
      </c>
      <c r="G366" t="s">
        <v>30</v>
      </c>
      <c r="H366" t="s">
        <v>31</v>
      </c>
      <c r="I366" t="s">
        <v>347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T366" t="s">
        <v>43</v>
      </c>
      <c r="U366" t="str">
        <f t="shared" si="21"/>
        <v/>
      </c>
      <c r="V366" t="str">
        <f t="shared" si="22"/>
        <v>Ja</v>
      </c>
    </row>
    <row r="367" spans="1:22" x14ac:dyDescent="0.2">
      <c r="A367" t="s">
        <v>735</v>
      </c>
      <c r="B367" t="s">
        <v>357</v>
      </c>
      <c r="C367" t="s">
        <v>396</v>
      </c>
      <c r="D367" t="s">
        <v>36</v>
      </c>
      <c r="E367" s="15" t="s">
        <v>397</v>
      </c>
      <c r="F367" t="s">
        <v>323</v>
      </c>
      <c r="G367" t="s">
        <v>30</v>
      </c>
      <c r="H367" t="s">
        <v>31</v>
      </c>
      <c r="I367" t="s">
        <v>351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T367" t="s">
        <v>43</v>
      </c>
      <c r="U367" t="str">
        <f t="shared" si="21"/>
        <v/>
      </c>
      <c r="V367" t="str">
        <f t="shared" si="22"/>
        <v>Ja</v>
      </c>
    </row>
    <row r="368" spans="1:22" x14ac:dyDescent="0.2">
      <c r="A368" t="s">
        <v>736</v>
      </c>
      <c r="B368" t="s">
        <v>357</v>
      </c>
      <c r="C368" t="s">
        <v>399</v>
      </c>
      <c r="D368" t="s">
        <v>143</v>
      </c>
      <c r="E368" s="15" t="s">
        <v>400</v>
      </c>
      <c r="G368" t="s">
        <v>30</v>
      </c>
      <c r="H368" t="s">
        <v>31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T368" t="s">
        <v>43</v>
      </c>
      <c r="U368" t="str">
        <f t="shared" si="21"/>
        <v/>
      </c>
      <c r="V368" t="str">
        <f t="shared" si="22"/>
        <v/>
      </c>
    </row>
    <row r="369" spans="1:22" x14ac:dyDescent="0.2">
      <c r="A369" t="s">
        <v>737</v>
      </c>
      <c r="B369" t="s">
        <v>354</v>
      </c>
      <c r="C369" t="s">
        <v>402</v>
      </c>
      <c r="D369" t="s">
        <v>357</v>
      </c>
      <c r="E369" s="15"/>
      <c r="G369" t="s">
        <v>139</v>
      </c>
      <c r="H369" t="s">
        <v>31</v>
      </c>
      <c r="I369" t="str">
        <f>IF(J369&lt;&gt;"","UFDB","")</f>
        <v>UFDB</v>
      </c>
      <c r="J369" t="s">
        <v>738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T369" t="s">
        <v>43</v>
      </c>
      <c r="U369" t="str">
        <f t="shared" si="21"/>
        <v/>
      </c>
      <c r="V369" t="str">
        <f t="shared" si="22"/>
        <v>Ja</v>
      </c>
    </row>
    <row r="370" spans="1:22" x14ac:dyDescent="0.2">
      <c r="A370" t="s">
        <v>739</v>
      </c>
      <c r="B370" t="s">
        <v>357</v>
      </c>
      <c r="C370" t="s">
        <v>26</v>
      </c>
      <c r="D370" t="s">
        <v>27</v>
      </c>
      <c r="E370" s="15" t="s">
        <v>360</v>
      </c>
      <c r="F370" t="s">
        <v>38</v>
      </c>
      <c r="G370" t="s">
        <v>30</v>
      </c>
      <c r="H370" t="s">
        <v>31</v>
      </c>
      <c r="I370" t="s">
        <v>740</v>
      </c>
      <c r="J370" t="s">
        <v>741</v>
      </c>
      <c r="K370" t="s">
        <v>33</v>
      </c>
      <c r="L370" t="s">
        <v>43</v>
      </c>
      <c r="M370" t="s">
        <v>33</v>
      </c>
      <c r="N370" t="s">
        <v>43</v>
      </c>
      <c r="O370" t="s">
        <v>33</v>
      </c>
      <c r="P370" t="s">
        <v>43</v>
      </c>
      <c r="Q370" t="s">
        <v>33</v>
      </c>
      <c r="R370" t="s">
        <v>43</v>
      </c>
      <c r="T370" t="s">
        <v>43</v>
      </c>
      <c r="U370" t="str">
        <f t="shared" si="21"/>
        <v/>
      </c>
      <c r="V370" t="str">
        <f t="shared" si="22"/>
        <v/>
      </c>
    </row>
    <row r="371" spans="1:22" x14ac:dyDescent="0.2">
      <c r="A371" t="s">
        <v>742</v>
      </c>
      <c r="B371" t="s">
        <v>357</v>
      </c>
      <c r="C371" t="s">
        <v>363</v>
      </c>
      <c r="D371" t="s">
        <v>364</v>
      </c>
      <c r="E371" s="15"/>
      <c r="F371" t="s">
        <v>38</v>
      </c>
      <c r="G371" t="s">
        <v>30</v>
      </c>
      <c r="H371" t="s">
        <v>31</v>
      </c>
      <c r="I371" t="s">
        <v>740</v>
      </c>
      <c r="J371" t="s">
        <v>743</v>
      </c>
      <c r="K371" t="s">
        <v>33</v>
      </c>
      <c r="L371" t="s">
        <v>43</v>
      </c>
      <c r="M371" t="s">
        <v>33</v>
      </c>
      <c r="N371" t="s">
        <v>43</v>
      </c>
      <c r="O371" t="s">
        <v>33</v>
      </c>
      <c r="P371" t="s">
        <v>43</v>
      </c>
      <c r="Q371" t="s">
        <v>33</v>
      </c>
      <c r="R371" t="s">
        <v>43</v>
      </c>
      <c r="T371" t="s">
        <v>43</v>
      </c>
      <c r="U371" t="str">
        <f t="shared" si="21"/>
        <v/>
      </c>
      <c r="V371" t="str">
        <f t="shared" si="22"/>
        <v/>
      </c>
    </row>
    <row r="372" spans="1:22" x14ac:dyDescent="0.2">
      <c r="A372" t="s">
        <v>744</v>
      </c>
      <c r="B372" t="s">
        <v>364</v>
      </c>
      <c r="C372" t="s">
        <v>366</v>
      </c>
      <c r="D372" t="s">
        <v>367</v>
      </c>
      <c r="E372" s="15" t="s">
        <v>368</v>
      </c>
      <c r="F372" t="s">
        <v>38</v>
      </c>
      <c r="G372" t="s">
        <v>30</v>
      </c>
      <c r="H372" t="s">
        <v>31</v>
      </c>
      <c r="I372" t="s">
        <v>740</v>
      </c>
      <c r="J372" t="s">
        <v>745</v>
      </c>
      <c r="K372" t="s">
        <v>33</v>
      </c>
      <c r="L372" t="s">
        <v>43</v>
      </c>
      <c r="M372" t="s">
        <v>33</v>
      </c>
      <c r="N372" t="s">
        <v>43</v>
      </c>
      <c r="O372" t="s">
        <v>33</v>
      </c>
      <c r="P372" t="s">
        <v>43</v>
      </c>
      <c r="Q372" t="s">
        <v>33</v>
      </c>
      <c r="R372" t="s">
        <v>43</v>
      </c>
      <c r="T372" t="s">
        <v>43</v>
      </c>
      <c r="U372" t="str">
        <f t="shared" si="21"/>
        <v/>
      </c>
      <c r="V372" t="str">
        <f t="shared" si="22"/>
        <v/>
      </c>
    </row>
    <row r="373" spans="1:22" x14ac:dyDescent="0.2">
      <c r="A373" t="s">
        <v>746</v>
      </c>
      <c r="B373" t="s">
        <v>364</v>
      </c>
      <c r="C373" t="s">
        <v>370</v>
      </c>
      <c r="D373" t="s">
        <v>225</v>
      </c>
      <c r="E373" s="15"/>
      <c r="F373" t="s">
        <v>38</v>
      </c>
      <c r="G373" t="s">
        <v>30</v>
      </c>
      <c r="H373" t="s">
        <v>31</v>
      </c>
      <c r="I373" t="s">
        <v>740</v>
      </c>
      <c r="J373" t="s">
        <v>747</v>
      </c>
      <c r="K373" t="s">
        <v>33</v>
      </c>
      <c r="L373" t="s">
        <v>43</v>
      </c>
      <c r="M373" t="s">
        <v>33</v>
      </c>
      <c r="N373" t="s">
        <v>43</v>
      </c>
      <c r="O373" t="s">
        <v>33</v>
      </c>
      <c r="P373" t="s">
        <v>43</v>
      </c>
      <c r="Q373" t="s">
        <v>33</v>
      </c>
      <c r="R373" t="s">
        <v>43</v>
      </c>
      <c r="T373" t="s">
        <v>43</v>
      </c>
      <c r="U373" t="str">
        <f t="shared" si="21"/>
        <v/>
      </c>
      <c r="V373" t="str">
        <f t="shared" si="22"/>
        <v/>
      </c>
    </row>
    <row r="374" spans="1:22" x14ac:dyDescent="0.2">
      <c r="A374" t="s">
        <v>748</v>
      </c>
      <c r="B374" t="s">
        <v>225</v>
      </c>
      <c r="C374" t="s">
        <v>228</v>
      </c>
      <c r="D374" t="s">
        <v>229</v>
      </c>
      <c r="E374" s="15" t="s">
        <v>372</v>
      </c>
      <c r="F374" t="s">
        <v>38</v>
      </c>
      <c r="G374" t="s">
        <v>30</v>
      </c>
      <c r="H374" t="s">
        <v>31</v>
      </c>
      <c r="I374" t="s">
        <v>740</v>
      </c>
      <c r="J374" t="s">
        <v>749</v>
      </c>
      <c r="K374" t="s">
        <v>33</v>
      </c>
      <c r="L374" t="s">
        <v>43</v>
      </c>
      <c r="M374" t="s">
        <v>33</v>
      </c>
      <c r="N374" t="s">
        <v>43</v>
      </c>
      <c r="O374" t="s">
        <v>33</v>
      </c>
      <c r="P374" t="s">
        <v>43</v>
      </c>
      <c r="Q374" t="s">
        <v>33</v>
      </c>
      <c r="R374" t="s">
        <v>43</v>
      </c>
      <c r="T374" t="s">
        <v>43</v>
      </c>
      <c r="U374" t="str">
        <f t="shared" si="21"/>
        <v/>
      </c>
      <c r="V374" t="str">
        <f t="shared" si="22"/>
        <v/>
      </c>
    </row>
    <row r="375" spans="1:22" x14ac:dyDescent="0.2">
      <c r="A375" t="s">
        <v>750</v>
      </c>
      <c r="B375" t="s">
        <v>225</v>
      </c>
      <c r="C375" t="s">
        <v>233</v>
      </c>
      <c r="D375" t="s">
        <v>234</v>
      </c>
      <c r="E375" s="15" t="s">
        <v>374</v>
      </c>
      <c r="F375" t="s">
        <v>38</v>
      </c>
      <c r="G375" t="s">
        <v>30</v>
      </c>
      <c r="H375" t="s">
        <v>31</v>
      </c>
      <c r="I375" t="s">
        <v>740</v>
      </c>
      <c r="J375" t="s">
        <v>751</v>
      </c>
      <c r="K375" t="s">
        <v>33</v>
      </c>
      <c r="L375" t="s">
        <v>43</v>
      </c>
      <c r="M375" t="s">
        <v>33</v>
      </c>
      <c r="N375" t="s">
        <v>43</v>
      </c>
      <c r="O375" t="s">
        <v>33</v>
      </c>
      <c r="P375" t="s">
        <v>43</v>
      </c>
      <c r="Q375" t="s">
        <v>33</v>
      </c>
      <c r="R375" t="s">
        <v>43</v>
      </c>
      <c r="T375" t="s">
        <v>43</v>
      </c>
      <c r="U375" t="str">
        <f t="shared" si="21"/>
        <v/>
      </c>
      <c r="V375" t="str">
        <f t="shared" si="22"/>
        <v/>
      </c>
    </row>
    <row r="376" spans="1:22" x14ac:dyDescent="0.2">
      <c r="A376" t="s">
        <v>752</v>
      </c>
      <c r="B376" t="s">
        <v>364</v>
      </c>
      <c r="C376" t="s">
        <v>370</v>
      </c>
      <c r="D376" t="s">
        <v>225</v>
      </c>
      <c r="E376" s="15"/>
      <c r="F376" t="s">
        <v>38</v>
      </c>
      <c r="G376" t="s">
        <v>30</v>
      </c>
      <c r="H376" t="s">
        <v>31</v>
      </c>
      <c r="I376" t="s">
        <v>740</v>
      </c>
      <c r="J376" t="s">
        <v>753</v>
      </c>
      <c r="K376" t="s">
        <v>33</v>
      </c>
      <c r="L376" t="s">
        <v>43</v>
      </c>
      <c r="M376" t="s">
        <v>33</v>
      </c>
      <c r="N376" t="s">
        <v>43</v>
      </c>
      <c r="O376" t="s">
        <v>33</v>
      </c>
      <c r="P376" t="s">
        <v>43</v>
      </c>
      <c r="Q376" t="s">
        <v>33</v>
      </c>
      <c r="R376" t="s">
        <v>43</v>
      </c>
      <c r="T376" t="s">
        <v>43</v>
      </c>
      <c r="U376" t="str">
        <f t="shared" si="21"/>
        <v/>
      </c>
      <c r="V376" t="str">
        <f t="shared" si="22"/>
        <v/>
      </c>
    </row>
    <row r="377" spans="1:22" x14ac:dyDescent="0.2">
      <c r="A377" t="s">
        <v>754</v>
      </c>
      <c r="B377" t="s">
        <v>225</v>
      </c>
      <c r="C377" t="s">
        <v>228</v>
      </c>
      <c r="D377" t="s">
        <v>229</v>
      </c>
      <c r="E377" s="15" t="s">
        <v>496</v>
      </c>
      <c r="F377" t="s">
        <v>38</v>
      </c>
      <c r="G377" t="s">
        <v>30</v>
      </c>
      <c r="H377" t="s">
        <v>31</v>
      </c>
      <c r="I377" t="s">
        <v>740</v>
      </c>
      <c r="J377" t="s">
        <v>755</v>
      </c>
      <c r="K377" t="s">
        <v>33</v>
      </c>
      <c r="L377" t="s">
        <v>43</v>
      </c>
      <c r="M377" t="s">
        <v>33</v>
      </c>
      <c r="N377" t="s">
        <v>43</v>
      </c>
      <c r="O377" t="s">
        <v>33</v>
      </c>
      <c r="P377" t="s">
        <v>43</v>
      </c>
      <c r="Q377" t="s">
        <v>33</v>
      </c>
      <c r="R377" t="s">
        <v>43</v>
      </c>
      <c r="T377" t="s">
        <v>43</v>
      </c>
      <c r="U377" t="str">
        <f t="shared" si="21"/>
        <v/>
      </c>
      <c r="V377" t="str">
        <f t="shared" si="22"/>
        <v/>
      </c>
    </row>
    <row r="378" spans="1:22" x14ac:dyDescent="0.2">
      <c r="A378" t="s">
        <v>756</v>
      </c>
      <c r="B378" t="s">
        <v>225</v>
      </c>
      <c r="C378" t="s">
        <v>233</v>
      </c>
      <c r="D378" t="s">
        <v>234</v>
      </c>
      <c r="E378" s="15" t="s">
        <v>380</v>
      </c>
      <c r="F378" t="s">
        <v>38</v>
      </c>
      <c r="G378" t="s">
        <v>30</v>
      </c>
      <c r="H378" t="s">
        <v>31</v>
      </c>
      <c r="I378" t="s">
        <v>740</v>
      </c>
      <c r="J378" t="s">
        <v>757</v>
      </c>
      <c r="K378" t="s">
        <v>33</v>
      </c>
      <c r="L378" t="s">
        <v>43</v>
      </c>
      <c r="M378" t="s">
        <v>33</v>
      </c>
      <c r="N378" t="s">
        <v>43</v>
      </c>
      <c r="O378" t="s">
        <v>33</v>
      </c>
      <c r="P378" t="s">
        <v>43</v>
      </c>
      <c r="Q378" t="s">
        <v>33</v>
      </c>
      <c r="R378" t="s">
        <v>43</v>
      </c>
      <c r="T378" t="s">
        <v>43</v>
      </c>
      <c r="U378" t="str">
        <f t="shared" si="21"/>
        <v/>
      </c>
      <c r="V378" t="str">
        <f t="shared" si="22"/>
        <v/>
      </c>
    </row>
    <row r="379" spans="1:22" x14ac:dyDescent="0.2">
      <c r="A379" t="s">
        <v>758</v>
      </c>
      <c r="B379" t="s">
        <v>364</v>
      </c>
      <c r="C379" t="s">
        <v>382</v>
      </c>
      <c r="D379" t="s">
        <v>143</v>
      </c>
      <c r="E379" s="15" t="s">
        <v>418</v>
      </c>
      <c r="F379" t="s">
        <v>29</v>
      </c>
      <c r="G379" t="s">
        <v>30</v>
      </c>
      <c r="H379" t="s">
        <v>31</v>
      </c>
      <c r="I379" t="str">
        <f t="shared" ref="I379:I405" si="23">IF(J379&lt;&gt;"","UFDB","")</f>
        <v>UFDB</v>
      </c>
      <c r="J379" t="s">
        <v>759</v>
      </c>
      <c r="K379" t="s">
        <v>33</v>
      </c>
      <c r="L379" t="s">
        <v>43</v>
      </c>
      <c r="M379" t="s">
        <v>33</v>
      </c>
      <c r="N379" t="s">
        <v>43</v>
      </c>
      <c r="O379" t="s">
        <v>33</v>
      </c>
      <c r="P379" t="s">
        <v>43</v>
      </c>
      <c r="Q379" t="s">
        <v>33</v>
      </c>
      <c r="R379" t="s">
        <v>43</v>
      </c>
      <c r="T379" t="s">
        <v>33</v>
      </c>
      <c r="U379" t="str">
        <f t="shared" si="21"/>
        <v/>
      </c>
      <c r="V379" t="str">
        <f t="shared" si="22"/>
        <v/>
      </c>
    </row>
    <row r="380" spans="1:22" x14ac:dyDescent="0.2">
      <c r="A380" t="s">
        <v>760</v>
      </c>
      <c r="B380" t="s">
        <v>357</v>
      </c>
      <c r="C380" t="s">
        <v>385</v>
      </c>
      <c r="D380" t="s">
        <v>367</v>
      </c>
      <c r="E380" s="15" t="s">
        <v>386</v>
      </c>
      <c r="G380" t="s">
        <v>30</v>
      </c>
      <c r="H380" t="s">
        <v>31</v>
      </c>
      <c r="I380" t="str">
        <f t="shared" si="23"/>
        <v>UFDB</v>
      </c>
      <c r="J380" t="s">
        <v>761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T380" t="s">
        <v>33</v>
      </c>
      <c r="U380" t="str">
        <f t="shared" si="21"/>
        <v/>
      </c>
      <c r="V380" t="str">
        <f t="shared" si="22"/>
        <v>Ja</v>
      </c>
    </row>
    <row r="381" spans="1:22" x14ac:dyDescent="0.2">
      <c r="A381" t="s">
        <v>762</v>
      </c>
      <c r="B381" t="s">
        <v>357</v>
      </c>
      <c r="C381" t="s">
        <v>388</v>
      </c>
      <c r="D381" t="s">
        <v>367</v>
      </c>
      <c r="E381" s="15" t="s">
        <v>389</v>
      </c>
      <c r="G381" t="s">
        <v>30</v>
      </c>
      <c r="H381" t="s">
        <v>31</v>
      </c>
      <c r="I381" t="str">
        <f t="shared" si="23"/>
        <v>UFDB</v>
      </c>
      <c r="J381" t="s">
        <v>763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T381" t="s">
        <v>33</v>
      </c>
      <c r="U381" t="str">
        <f t="shared" si="21"/>
        <v/>
      </c>
      <c r="V381" t="str">
        <f t="shared" si="22"/>
        <v>Ja</v>
      </c>
    </row>
    <row r="382" spans="1:22" x14ac:dyDescent="0.2">
      <c r="A382" t="s">
        <v>764</v>
      </c>
      <c r="B382" t="s">
        <v>357</v>
      </c>
      <c r="C382" t="s">
        <v>392</v>
      </c>
      <c r="D382" t="s">
        <v>367</v>
      </c>
      <c r="E382" s="15" t="s">
        <v>393</v>
      </c>
      <c r="G382" t="s">
        <v>30</v>
      </c>
      <c r="H382" t="s">
        <v>31</v>
      </c>
      <c r="I382" t="str">
        <f t="shared" si="23"/>
        <v>UFDB</v>
      </c>
      <c r="J382" t="s">
        <v>765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T382" t="s">
        <v>33</v>
      </c>
      <c r="U382" t="str">
        <f t="shared" si="21"/>
        <v/>
      </c>
      <c r="V382" t="str">
        <f t="shared" si="22"/>
        <v>Ja</v>
      </c>
    </row>
    <row r="383" spans="1:22" x14ac:dyDescent="0.2">
      <c r="A383" t="s">
        <v>766</v>
      </c>
      <c r="B383" t="s">
        <v>357</v>
      </c>
      <c r="C383" t="s">
        <v>396</v>
      </c>
      <c r="D383" t="s">
        <v>36</v>
      </c>
      <c r="E383" s="15" t="s">
        <v>397</v>
      </c>
      <c r="G383" t="s">
        <v>30</v>
      </c>
      <c r="H383" t="s">
        <v>31</v>
      </c>
      <c r="I383" t="str">
        <f t="shared" si="23"/>
        <v>UFDB</v>
      </c>
      <c r="J383" t="s">
        <v>767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T383" t="s">
        <v>33</v>
      </c>
      <c r="U383" t="str">
        <f t="shared" si="21"/>
        <v/>
      </c>
      <c r="V383" t="str">
        <f t="shared" si="22"/>
        <v>Ja</v>
      </c>
    </row>
    <row r="384" spans="1:22" x14ac:dyDescent="0.2">
      <c r="A384" t="s">
        <v>768</v>
      </c>
      <c r="B384" t="s">
        <v>357</v>
      </c>
      <c r="C384" t="s">
        <v>399</v>
      </c>
      <c r="D384" t="s">
        <v>143</v>
      </c>
      <c r="E384" s="15" t="s">
        <v>400</v>
      </c>
      <c r="G384" t="s">
        <v>30</v>
      </c>
      <c r="H384" t="s">
        <v>31</v>
      </c>
      <c r="I384" t="str">
        <f t="shared" si="23"/>
        <v>UFDB</v>
      </c>
      <c r="J384" t="s">
        <v>769</v>
      </c>
      <c r="K384" t="s">
        <v>43</v>
      </c>
      <c r="L384" t="s">
        <v>43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43</v>
      </c>
      <c r="T384" t="s">
        <v>33</v>
      </c>
      <c r="U384" t="str">
        <f t="shared" si="21"/>
        <v/>
      </c>
      <c r="V384" t="str">
        <f t="shared" si="22"/>
        <v>Ja</v>
      </c>
    </row>
    <row r="385" spans="1:22" x14ac:dyDescent="0.2">
      <c r="A385" t="s">
        <v>770</v>
      </c>
      <c r="B385" t="s">
        <v>354</v>
      </c>
      <c r="C385" t="s">
        <v>425</v>
      </c>
      <c r="D385" t="s">
        <v>357</v>
      </c>
      <c r="E385" s="15"/>
      <c r="G385" t="s">
        <v>30</v>
      </c>
      <c r="H385" t="s">
        <v>31</v>
      </c>
      <c r="I385" t="str">
        <f t="shared" si="23"/>
        <v>UFDB</v>
      </c>
      <c r="J385" t="s">
        <v>771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T385" t="s">
        <v>33</v>
      </c>
      <c r="U385" t="str">
        <f t="shared" si="21"/>
        <v/>
      </c>
      <c r="V385" t="str">
        <f t="shared" si="22"/>
        <v>Ja</v>
      </c>
    </row>
    <row r="386" spans="1:22" x14ac:dyDescent="0.2">
      <c r="A386" t="s">
        <v>772</v>
      </c>
      <c r="B386" t="s">
        <v>357</v>
      </c>
      <c r="C386" t="s">
        <v>26</v>
      </c>
      <c r="D386" t="s">
        <v>27</v>
      </c>
      <c r="E386" s="15" t="s">
        <v>360</v>
      </c>
      <c r="G386" t="s">
        <v>30</v>
      </c>
      <c r="H386" t="s">
        <v>31</v>
      </c>
      <c r="I386" t="str">
        <f t="shared" si="23"/>
        <v>UFDB</v>
      </c>
      <c r="J386" t="s">
        <v>771</v>
      </c>
      <c r="K386" t="s">
        <v>43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T386" t="s">
        <v>43</v>
      </c>
      <c r="U386" t="str">
        <f t="shared" si="21"/>
        <v/>
      </c>
      <c r="V386" t="str">
        <f t="shared" si="22"/>
        <v>Ja</v>
      </c>
    </row>
    <row r="387" spans="1:22" x14ac:dyDescent="0.2">
      <c r="A387" t="s">
        <v>773</v>
      </c>
      <c r="B387" t="s">
        <v>357</v>
      </c>
      <c r="C387" t="s">
        <v>363</v>
      </c>
      <c r="D387" t="s">
        <v>364</v>
      </c>
      <c r="E387" s="15"/>
      <c r="F387" t="s">
        <v>38</v>
      </c>
      <c r="G387" t="s">
        <v>30</v>
      </c>
      <c r="H387" t="s">
        <v>31</v>
      </c>
      <c r="I387" t="str">
        <f t="shared" si="23"/>
        <v>UFDB</v>
      </c>
      <c r="J387" t="s">
        <v>774</v>
      </c>
      <c r="K387" t="s">
        <v>33</v>
      </c>
      <c r="L387" t="s">
        <v>43</v>
      </c>
      <c r="M387" t="s">
        <v>33</v>
      </c>
      <c r="N387" t="s">
        <v>43</v>
      </c>
      <c r="O387" t="s">
        <v>33</v>
      </c>
      <c r="P387" t="s">
        <v>43</v>
      </c>
      <c r="Q387" t="s">
        <v>33</v>
      </c>
      <c r="R387" t="s">
        <v>43</v>
      </c>
      <c r="T387" t="s">
        <v>33</v>
      </c>
      <c r="U387" t="str">
        <f t="shared" si="21"/>
        <v/>
      </c>
      <c r="V387" t="str">
        <f t="shared" si="22"/>
        <v/>
      </c>
    </row>
    <row r="388" spans="1:22" x14ac:dyDescent="0.2">
      <c r="A388" t="s">
        <v>775</v>
      </c>
      <c r="B388" t="s">
        <v>364</v>
      </c>
      <c r="C388" t="s">
        <v>366</v>
      </c>
      <c r="D388" t="s">
        <v>367</v>
      </c>
      <c r="E388" s="15" t="s">
        <v>450</v>
      </c>
      <c r="F388" t="s">
        <v>38</v>
      </c>
      <c r="G388" t="s">
        <v>139</v>
      </c>
      <c r="H388" t="s">
        <v>31</v>
      </c>
      <c r="I388" t="str">
        <f t="shared" si="23"/>
        <v>UFDB</v>
      </c>
      <c r="J388" t="s">
        <v>776</v>
      </c>
      <c r="K388" t="s">
        <v>33</v>
      </c>
      <c r="L388" t="s">
        <v>43</v>
      </c>
      <c r="M388" t="s">
        <v>33</v>
      </c>
      <c r="N388" t="s">
        <v>43</v>
      </c>
      <c r="O388" t="s">
        <v>33</v>
      </c>
      <c r="P388" t="s">
        <v>43</v>
      </c>
      <c r="Q388" t="s">
        <v>33</v>
      </c>
      <c r="R388" t="s">
        <v>43</v>
      </c>
      <c r="T388" t="s">
        <v>33</v>
      </c>
      <c r="U388" t="str">
        <f t="shared" si="21"/>
        <v/>
      </c>
      <c r="V388" t="str">
        <f t="shared" si="22"/>
        <v/>
      </c>
    </row>
    <row r="389" spans="1:22" x14ac:dyDescent="0.2">
      <c r="A389" t="s">
        <v>777</v>
      </c>
      <c r="B389" t="s">
        <v>364</v>
      </c>
      <c r="C389" t="s">
        <v>370</v>
      </c>
      <c r="D389" t="s">
        <v>225</v>
      </c>
      <c r="E389" s="15"/>
      <c r="F389" t="s">
        <v>38</v>
      </c>
      <c r="G389" t="s">
        <v>139</v>
      </c>
      <c r="H389" t="s">
        <v>31</v>
      </c>
      <c r="I389" t="str">
        <f t="shared" si="23"/>
        <v>UFDB</v>
      </c>
      <c r="J389" t="s">
        <v>778</v>
      </c>
      <c r="K389" t="s">
        <v>33</v>
      </c>
      <c r="L389" t="s">
        <v>43</v>
      </c>
      <c r="M389" t="s">
        <v>33</v>
      </c>
      <c r="N389" t="s">
        <v>43</v>
      </c>
      <c r="O389" t="s">
        <v>33</v>
      </c>
      <c r="P389" t="s">
        <v>43</v>
      </c>
      <c r="Q389" t="s">
        <v>33</v>
      </c>
      <c r="R389" t="s">
        <v>43</v>
      </c>
      <c r="T389" t="s">
        <v>33</v>
      </c>
      <c r="U389" t="str">
        <f t="shared" si="21"/>
        <v/>
      </c>
      <c r="V389" t="str">
        <f t="shared" si="22"/>
        <v/>
      </c>
    </row>
    <row r="390" spans="1:22" x14ac:dyDescent="0.2">
      <c r="A390" t="s">
        <v>779</v>
      </c>
      <c r="B390" t="s">
        <v>225</v>
      </c>
      <c r="C390" t="s">
        <v>228</v>
      </c>
      <c r="D390" t="s">
        <v>229</v>
      </c>
      <c r="E390" s="15" t="s">
        <v>372</v>
      </c>
      <c r="F390" t="s">
        <v>38</v>
      </c>
      <c r="G390" t="s">
        <v>30</v>
      </c>
      <c r="H390" t="s">
        <v>31</v>
      </c>
      <c r="I390" t="str">
        <f t="shared" si="23"/>
        <v>UFDB</v>
      </c>
      <c r="J390" t="s">
        <v>780</v>
      </c>
      <c r="K390" t="s">
        <v>33</v>
      </c>
      <c r="L390" t="s">
        <v>43</v>
      </c>
      <c r="M390" t="s">
        <v>33</v>
      </c>
      <c r="N390" t="s">
        <v>43</v>
      </c>
      <c r="O390" t="s">
        <v>33</v>
      </c>
      <c r="P390" t="s">
        <v>43</v>
      </c>
      <c r="Q390" t="s">
        <v>33</v>
      </c>
      <c r="R390" t="s">
        <v>43</v>
      </c>
      <c r="T390" t="s">
        <v>33</v>
      </c>
      <c r="U390" t="str">
        <f t="shared" si="21"/>
        <v/>
      </c>
      <c r="V390" t="str">
        <f t="shared" si="22"/>
        <v/>
      </c>
    </row>
    <row r="391" spans="1:22" x14ac:dyDescent="0.2">
      <c r="A391" t="s">
        <v>781</v>
      </c>
      <c r="B391" t="s">
        <v>225</v>
      </c>
      <c r="C391" t="s">
        <v>233</v>
      </c>
      <c r="D391" t="s">
        <v>234</v>
      </c>
      <c r="E391" t="s">
        <v>374</v>
      </c>
      <c r="F391" t="s">
        <v>38</v>
      </c>
      <c r="G391" t="s">
        <v>30</v>
      </c>
      <c r="H391" t="s">
        <v>31</v>
      </c>
      <c r="I391" t="str">
        <f t="shared" si="23"/>
        <v>UFDB</v>
      </c>
      <c r="J391" t="s">
        <v>782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T391" t="s">
        <v>43</v>
      </c>
      <c r="U391" t="str">
        <f t="shared" si="21"/>
        <v/>
      </c>
      <c r="V391" t="str">
        <f t="shared" si="22"/>
        <v>Ja</v>
      </c>
    </row>
    <row r="392" spans="1:22" x14ac:dyDescent="0.2">
      <c r="A392" t="s">
        <v>783</v>
      </c>
      <c r="B392" t="s">
        <v>364</v>
      </c>
      <c r="C392" t="s">
        <v>370</v>
      </c>
      <c r="D392" t="s">
        <v>225</v>
      </c>
      <c r="F392" t="s">
        <v>38</v>
      </c>
      <c r="G392" t="s">
        <v>30</v>
      </c>
      <c r="H392" t="s">
        <v>784</v>
      </c>
      <c r="I392" t="str">
        <f t="shared" si="23"/>
        <v>UFDB</v>
      </c>
      <c r="J392" t="s">
        <v>785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T392" t="s">
        <v>43</v>
      </c>
      <c r="U392" t="str">
        <f t="shared" si="21"/>
        <v/>
      </c>
      <c r="V392" t="str">
        <f t="shared" si="22"/>
        <v>Ja</v>
      </c>
    </row>
    <row r="393" spans="1:22" x14ac:dyDescent="0.2">
      <c r="A393" t="s">
        <v>786</v>
      </c>
      <c r="B393" t="s">
        <v>225</v>
      </c>
      <c r="C393" t="s">
        <v>228</v>
      </c>
      <c r="D393" t="s">
        <v>229</v>
      </c>
      <c r="E393" s="15" t="s">
        <v>436</v>
      </c>
      <c r="F393" t="s">
        <v>29</v>
      </c>
      <c r="G393" t="s">
        <v>30</v>
      </c>
      <c r="H393" t="s">
        <v>31</v>
      </c>
      <c r="I393" t="str">
        <f t="shared" si="23"/>
        <v>UFDB</v>
      </c>
      <c r="J393" t="s">
        <v>787</v>
      </c>
      <c r="K393" t="s">
        <v>33</v>
      </c>
      <c r="L393" t="s">
        <v>43</v>
      </c>
      <c r="M393" t="s">
        <v>33</v>
      </c>
      <c r="N393" t="s">
        <v>43</v>
      </c>
      <c r="O393" t="s">
        <v>33</v>
      </c>
      <c r="P393" t="s">
        <v>43</v>
      </c>
      <c r="Q393" t="s">
        <v>33</v>
      </c>
      <c r="R393" t="s">
        <v>43</v>
      </c>
      <c r="T393" t="s">
        <v>43</v>
      </c>
      <c r="U393" t="str">
        <f t="shared" si="21"/>
        <v/>
      </c>
      <c r="V393" t="str">
        <f t="shared" si="22"/>
        <v/>
      </c>
    </row>
    <row r="394" spans="1:22" x14ac:dyDescent="0.2">
      <c r="A394" t="s">
        <v>788</v>
      </c>
      <c r="B394" t="s">
        <v>225</v>
      </c>
      <c r="C394" t="s">
        <v>233</v>
      </c>
      <c r="D394" t="s">
        <v>234</v>
      </c>
      <c r="E394" s="15" t="s">
        <v>380</v>
      </c>
      <c r="F394" t="s">
        <v>38</v>
      </c>
      <c r="G394" t="s">
        <v>30</v>
      </c>
      <c r="H394" t="s">
        <v>31</v>
      </c>
      <c r="I394" t="str">
        <f t="shared" si="23"/>
        <v>UFDB</v>
      </c>
      <c r="J394" t="s">
        <v>789</v>
      </c>
      <c r="K394" t="s">
        <v>33</v>
      </c>
      <c r="L394" t="s">
        <v>43</v>
      </c>
      <c r="M394" t="s">
        <v>33</v>
      </c>
      <c r="N394" t="s">
        <v>43</v>
      </c>
      <c r="O394" t="s">
        <v>33</v>
      </c>
      <c r="P394" t="s">
        <v>43</v>
      </c>
      <c r="Q394" t="s">
        <v>33</v>
      </c>
      <c r="R394" t="s">
        <v>43</v>
      </c>
      <c r="T394" t="s">
        <v>43</v>
      </c>
      <c r="U394" t="str">
        <f t="shared" si="21"/>
        <v/>
      </c>
      <c r="V394" t="str">
        <f t="shared" si="22"/>
        <v/>
      </c>
    </row>
    <row r="395" spans="1:22" x14ac:dyDescent="0.2">
      <c r="A395" t="s">
        <v>790</v>
      </c>
      <c r="B395" t="s">
        <v>364</v>
      </c>
      <c r="C395" t="s">
        <v>382</v>
      </c>
      <c r="D395" t="s">
        <v>143</v>
      </c>
      <c r="E395" s="15" t="s">
        <v>383</v>
      </c>
      <c r="F395" t="s">
        <v>38</v>
      </c>
      <c r="G395" t="s">
        <v>139</v>
      </c>
      <c r="H395" t="s">
        <v>31</v>
      </c>
      <c r="I395" t="str">
        <f t="shared" si="23"/>
        <v>UFDB</v>
      </c>
      <c r="J395" t="s">
        <v>791</v>
      </c>
      <c r="K395" t="s">
        <v>33</v>
      </c>
      <c r="L395" t="s">
        <v>43</v>
      </c>
      <c r="M395" t="s">
        <v>33</v>
      </c>
      <c r="N395" t="s">
        <v>43</v>
      </c>
      <c r="O395" t="s">
        <v>33</v>
      </c>
      <c r="P395" t="s">
        <v>43</v>
      </c>
      <c r="Q395" t="s">
        <v>33</v>
      </c>
      <c r="R395" t="s">
        <v>43</v>
      </c>
      <c r="T395" t="s">
        <v>43</v>
      </c>
      <c r="U395" t="str">
        <f t="shared" si="21"/>
        <v/>
      </c>
      <c r="V395" t="str">
        <f t="shared" si="22"/>
        <v/>
      </c>
    </row>
    <row r="396" spans="1:22" x14ac:dyDescent="0.2">
      <c r="A396" t="s">
        <v>792</v>
      </c>
      <c r="B396" t="s">
        <v>357</v>
      </c>
      <c r="C396" t="s">
        <v>385</v>
      </c>
      <c r="D396" t="s">
        <v>367</v>
      </c>
      <c r="E396" s="15" t="s">
        <v>386</v>
      </c>
      <c r="F396" t="s">
        <v>38</v>
      </c>
      <c r="G396" t="s">
        <v>139</v>
      </c>
      <c r="H396" t="s">
        <v>31</v>
      </c>
      <c r="I396" t="str">
        <f t="shared" si="23"/>
        <v>UFDB</v>
      </c>
      <c r="J396" t="s">
        <v>793</v>
      </c>
      <c r="K396" t="s">
        <v>33</v>
      </c>
      <c r="L396" t="s">
        <v>43</v>
      </c>
      <c r="M396" t="s">
        <v>33</v>
      </c>
      <c r="N396" t="s">
        <v>43</v>
      </c>
      <c r="O396" t="s">
        <v>33</v>
      </c>
      <c r="P396" t="s">
        <v>43</v>
      </c>
      <c r="Q396" t="s">
        <v>33</v>
      </c>
      <c r="R396" t="s">
        <v>43</v>
      </c>
      <c r="T396" t="s">
        <v>43</v>
      </c>
      <c r="U396" t="str">
        <f t="shared" si="21"/>
        <v/>
      </c>
      <c r="V396" t="str">
        <f t="shared" si="22"/>
        <v/>
      </c>
    </row>
    <row r="397" spans="1:22" x14ac:dyDescent="0.2">
      <c r="A397" t="s">
        <v>794</v>
      </c>
      <c r="B397" t="s">
        <v>357</v>
      </c>
      <c r="C397" t="s">
        <v>388</v>
      </c>
      <c r="D397" t="s">
        <v>367</v>
      </c>
      <c r="E397" s="15" t="s">
        <v>389</v>
      </c>
      <c r="F397" t="s">
        <v>38</v>
      </c>
      <c r="G397" t="s">
        <v>30</v>
      </c>
      <c r="H397" t="s">
        <v>31</v>
      </c>
      <c r="I397" t="str">
        <f t="shared" si="23"/>
        <v>UFDB</v>
      </c>
      <c r="J397" t="s">
        <v>795</v>
      </c>
      <c r="K397" t="s">
        <v>33</v>
      </c>
      <c r="L397" t="s">
        <v>43</v>
      </c>
      <c r="M397" t="s">
        <v>33</v>
      </c>
      <c r="N397" t="s">
        <v>43</v>
      </c>
      <c r="O397" t="s">
        <v>33</v>
      </c>
      <c r="P397" t="s">
        <v>43</v>
      </c>
      <c r="Q397" t="s">
        <v>33</v>
      </c>
      <c r="R397" t="s">
        <v>43</v>
      </c>
      <c r="T397" t="s">
        <v>43</v>
      </c>
      <c r="U397" t="str">
        <f t="shared" si="21"/>
        <v/>
      </c>
      <c r="V397" t="str">
        <f t="shared" si="22"/>
        <v/>
      </c>
    </row>
    <row r="398" spans="1:22" x14ac:dyDescent="0.2">
      <c r="A398" t="s">
        <v>796</v>
      </c>
      <c r="B398" t="s">
        <v>357</v>
      </c>
      <c r="C398" t="s">
        <v>392</v>
      </c>
      <c r="D398" t="s">
        <v>367</v>
      </c>
      <c r="E398" t="s">
        <v>393</v>
      </c>
      <c r="F398" t="s">
        <v>38</v>
      </c>
      <c r="G398" t="s">
        <v>30</v>
      </c>
      <c r="H398" t="s">
        <v>31</v>
      </c>
      <c r="I398" t="str">
        <f t="shared" si="23"/>
        <v>UFDB</v>
      </c>
      <c r="J398" t="s">
        <v>797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</v>
      </c>
      <c r="T398" t="s">
        <v>43</v>
      </c>
      <c r="U398" t="str">
        <f t="shared" si="21"/>
        <v/>
      </c>
      <c r="V398" t="str">
        <f t="shared" si="22"/>
        <v>Ja</v>
      </c>
    </row>
    <row r="399" spans="1:22" x14ac:dyDescent="0.2">
      <c r="A399" t="s">
        <v>798</v>
      </c>
      <c r="B399" t="s">
        <v>357</v>
      </c>
      <c r="C399" t="s">
        <v>396</v>
      </c>
      <c r="D399" t="s">
        <v>36</v>
      </c>
      <c r="E399" t="s">
        <v>443</v>
      </c>
      <c r="F399" t="s">
        <v>38</v>
      </c>
      <c r="G399" t="s">
        <v>30</v>
      </c>
      <c r="H399" t="s">
        <v>784</v>
      </c>
      <c r="I399" t="str">
        <f t="shared" si="23"/>
        <v>UFDB</v>
      </c>
      <c r="J399" t="s">
        <v>799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43</v>
      </c>
      <c r="T399" t="s">
        <v>43</v>
      </c>
      <c r="U399" t="str">
        <f t="shared" si="21"/>
        <v/>
      </c>
      <c r="V399" t="str">
        <f t="shared" si="22"/>
        <v>Ja</v>
      </c>
    </row>
    <row r="400" spans="1:22" ht="16" customHeight="1" x14ac:dyDescent="0.2">
      <c r="A400" t="s">
        <v>800</v>
      </c>
      <c r="B400" t="s">
        <v>357</v>
      </c>
      <c r="C400" t="s">
        <v>399</v>
      </c>
      <c r="D400" t="s">
        <v>143</v>
      </c>
      <c r="E400" s="24" t="s">
        <v>400</v>
      </c>
      <c r="F400" t="s">
        <v>29</v>
      </c>
      <c r="G400" t="s">
        <v>30</v>
      </c>
      <c r="H400" t="s">
        <v>31</v>
      </c>
      <c r="I400" t="str">
        <f t="shared" si="23"/>
        <v>UFDB</v>
      </c>
      <c r="J400" t="s">
        <v>801</v>
      </c>
      <c r="K400" t="s">
        <v>33</v>
      </c>
      <c r="L400" t="s">
        <v>43</v>
      </c>
      <c r="M400" t="s">
        <v>33</v>
      </c>
      <c r="N400" t="s">
        <v>43</v>
      </c>
      <c r="O400" t="s">
        <v>33</v>
      </c>
      <c r="P400" t="s">
        <v>43</v>
      </c>
      <c r="Q400" t="s">
        <v>33</v>
      </c>
      <c r="R400" t="s">
        <v>43</v>
      </c>
      <c r="T400" t="s">
        <v>43</v>
      </c>
      <c r="U400" t="str">
        <f t="shared" ref="U400:U463" si="24">IF(AND(COUNTIF($K400:$R400,"Ja")&gt;0,OR($I400="",AND($I400="UFDB",$J400=""))),"Ja","")</f>
        <v/>
      </c>
      <c r="V400" t="str">
        <f t="shared" ref="V400:V463" si="25">IF(AND(COUNTIF($K400:$R400,"Ja")=0,$I400&lt;&gt;""),"Ja","")</f>
        <v/>
      </c>
    </row>
    <row r="401" spans="1:22" x14ac:dyDescent="0.2">
      <c r="A401" t="s">
        <v>802</v>
      </c>
      <c r="B401" t="s">
        <v>354</v>
      </c>
      <c r="C401" t="s">
        <v>446</v>
      </c>
      <c r="D401" t="s">
        <v>357</v>
      </c>
      <c r="E401" s="15"/>
      <c r="F401" t="s">
        <v>323</v>
      </c>
      <c r="G401" t="s">
        <v>30</v>
      </c>
      <c r="H401" t="s">
        <v>31</v>
      </c>
      <c r="I401" t="str">
        <f t="shared" si="23"/>
        <v>UFDB</v>
      </c>
      <c r="J401" t="s">
        <v>803</v>
      </c>
      <c r="K401" t="s">
        <v>33</v>
      </c>
      <c r="L401" t="s">
        <v>43</v>
      </c>
      <c r="M401" t="s">
        <v>33</v>
      </c>
      <c r="N401" t="s">
        <v>43</v>
      </c>
      <c r="O401" t="s">
        <v>33</v>
      </c>
      <c r="P401" t="s">
        <v>43</v>
      </c>
      <c r="Q401" t="s">
        <v>33</v>
      </c>
      <c r="R401" t="s">
        <v>43</v>
      </c>
      <c r="T401" t="s">
        <v>43</v>
      </c>
      <c r="U401" t="str">
        <f t="shared" si="24"/>
        <v/>
      </c>
      <c r="V401" t="str">
        <f t="shared" si="25"/>
        <v/>
      </c>
    </row>
    <row r="402" spans="1:22" x14ac:dyDescent="0.2">
      <c r="A402" t="s">
        <v>804</v>
      </c>
      <c r="B402" t="s">
        <v>357</v>
      </c>
      <c r="C402" t="s">
        <v>26</v>
      </c>
      <c r="D402" t="s">
        <v>27</v>
      </c>
      <c r="E402" s="15" t="s">
        <v>360</v>
      </c>
      <c r="F402" t="s">
        <v>38</v>
      </c>
      <c r="G402" t="s">
        <v>30</v>
      </c>
      <c r="H402" t="s">
        <v>31</v>
      </c>
      <c r="I402" t="str">
        <f t="shared" si="23"/>
        <v>UFDB</v>
      </c>
      <c r="J402" t="s">
        <v>805</v>
      </c>
      <c r="K402" t="s">
        <v>33</v>
      </c>
      <c r="L402" t="s">
        <v>43</v>
      </c>
      <c r="M402" t="s">
        <v>33</v>
      </c>
      <c r="N402" t="s">
        <v>43</v>
      </c>
      <c r="O402" t="s">
        <v>33</v>
      </c>
      <c r="P402" t="s">
        <v>43</v>
      </c>
      <c r="Q402" t="s">
        <v>33</v>
      </c>
      <c r="R402" t="s">
        <v>43</v>
      </c>
      <c r="T402" t="s">
        <v>43</v>
      </c>
      <c r="U402" t="str">
        <f t="shared" si="24"/>
        <v/>
      </c>
      <c r="V402" t="str">
        <f t="shared" si="25"/>
        <v/>
      </c>
    </row>
    <row r="403" spans="1:22" x14ac:dyDescent="0.2">
      <c r="A403" t="s">
        <v>806</v>
      </c>
      <c r="B403" t="s">
        <v>357</v>
      </c>
      <c r="C403" t="s">
        <v>363</v>
      </c>
      <c r="D403" t="s">
        <v>364</v>
      </c>
      <c r="E403" s="15"/>
      <c r="F403" t="s">
        <v>38</v>
      </c>
      <c r="G403" t="s">
        <v>30</v>
      </c>
      <c r="H403" t="s">
        <v>31</v>
      </c>
      <c r="I403" t="str">
        <f t="shared" si="23"/>
        <v>UFDB</v>
      </c>
      <c r="J403" t="s">
        <v>807</v>
      </c>
      <c r="K403" t="s">
        <v>33</v>
      </c>
      <c r="L403" t="s">
        <v>43</v>
      </c>
      <c r="M403" t="s">
        <v>33</v>
      </c>
      <c r="N403" t="s">
        <v>43</v>
      </c>
      <c r="O403" t="s">
        <v>33</v>
      </c>
      <c r="P403" t="s">
        <v>43</v>
      </c>
      <c r="Q403" t="s">
        <v>33</v>
      </c>
      <c r="R403" t="s">
        <v>43</v>
      </c>
      <c r="T403" t="s">
        <v>43</v>
      </c>
      <c r="U403" t="str">
        <f t="shared" si="24"/>
        <v/>
      </c>
      <c r="V403" t="str">
        <f t="shared" si="25"/>
        <v/>
      </c>
    </row>
    <row r="404" spans="1:22" x14ac:dyDescent="0.2">
      <c r="A404" t="s">
        <v>808</v>
      </c>
      <c r="B404" t="s">
        <v>364</v>
      </c>
      <c r="C404" t="s">
        <v>366</v>
      </c>
      <c r="D404" t="s">
        <v>367</v>
      </c>
      <c r="E404" s="15" t="s">
        <v>450</v>
      </c>
      <c r="F404" t="s">
        <v>323</v>
      </c>
      <c r="G404" t="s">
        <v>30</v>
      </c>
      <c r="H404" t="s">
        <v>31</v>
      </c>
      <c r="I404" t="str">
        <f t="shared" si="23"/>
        <v>UFDB</v>
      </c>
      <c r="J404" t="s">
        <v>809</v>
      </c>
      <c r="K404" t="s">
        <v>33</v>
      </c>
      <c r="L404" t="s">
        <v>43</v>
      </c>
      <c r="M404" t="s">
        <v>33</v>
      </c>
      <c r="N404" t="s">
        <v>43</v>
      </c>
      <c r="O404" t="s">
        <v>33</v>
      </c>
      <c r="P404" t="s">
        <v>43</v>
      </c>
      <c r="Q404" t="s">
        <v>33</v>
      </c>
      <c r="R404" t="s">
        <v>43</v>
      </c>
      <c r="T404" t="s">
        <v>43</v>
      </c>
      <c r="U404" t="str">
        <f t="shared" si="24"/>
        <v/>
      </c>
      <c r="V404" t="str">
        <f t="shared" si="25"/>
        <v/>
      </c>
    </row>
    <row r="405" spans="1:22" x14ac:dyDescent="0.2">
      <c r="A405" t="s">
        <v>810</v>
      </c>
      <c r="B405" t="s">
        <v>364</v>
      </c>
      <c r="C405" t="s">
        <v>370</v>
      </c>
      <c r="D405" t="s">
        <v>225</v>
      </c>
      <c r="E405" s="15"/>
      <c r="F405" t="s">
        <v>323</v>
      </c>
      <c r="G405" t="s">
        <v>30</v>
      </c>
      <c r="H405" t="s">
        <v>31</v>
      </c>
      <c r="I405" t="str">
        <f t="shared" si="23"/>
        <v>UFDB</v>
      </c>
      <c r="J405" t="s">
        <v>811</v>
      </c>
      <c r="K405" t="s">
        <v>33</v>
      </c>
      <c r="L405" t="s">
        <v>43</v>
      </c>
      <c r="M405" t="s">
        <v>33</v>
      </c>
      <c r="N405" t="s">
        <v>43</v>
      </c>
      <c r="O405" t="s">
        <v>33</v>
      </c>
      <c r="P405" t="s">
        <v>43</v>
      </c>
      <c r="Q405" t="s">
        <v>33</v>
      </c>
      <c r="R405" t="s">
        <v>43</v>
      </c>
      <c r="T405" t="s">
        <v>43</v>
      </c>
      <c r="U405" t="str">
        <f t="shared" si="24"/>
        <v/>
      </c>
      <c r="V405" t="str">
        <f t="shared" si="25"/>
        <v/>
      </c>
    </row>
    <row r="406" spans="1:22" x14ac:dyDescent="0.2">
      <c r="A406" t="s">
        <v>812</v>
      </c>
      <c r="B406" t="s">
        <v>225</v>
      </c>
      <c r="C406" t="s">
        <v>228</v>
      </c>
      <c r="D406" t="s">
        <v>229</v>
      </c>
      <c r="E406" s="15" t="s">
        <v>372</v>
      </c>
      <c r="F406" t="s">
        <v>323</v>
      </c>
      <c r="G406" t="s">
        <v>30</v>
      </c>
      <c r="H406" t="s">
        <v>31</v>
      </c>
      <c r="I406" t="s">
        <v>111</v>
      </c>
      <c r="J406" t="s">
        <v>813</v>
      </c>
      <c r="K406" t="s">
        <v>33</v>
      </c>
      <c r="L406" t="s">
        <v>43</v>
      </c>
      <c r="M406" t="s">
        <v>33</v>
      </c>
      <c r="N406" t="s">
        <v>43</v>
      </c>
      <c r="O406" t="s">
        <v>33</v>
      </c>
      <c r="P406" t="s">
        <v>43</v>
      </c>
      <c r="Q406" t="s">
        <v>33</v>
      </c>
      <c r="R406" t="s">
        <v>43</v>
      </c>
      <c r="T406" t="s">
        <v>43</v>
      </c>
      <c r="U406" t="str">
        <f t="shared" si="24"/>
        <v/>
      </c>
      <c r="V406" t="str">
        <f t="shared" si="25"/>
        <v/>
      </c>
    </row>
    <row r="407" spans="1:22" x14ac:dyDescent="0.2">
      <c r="A407" t="s">
        <v>814</v>
      </c>
      <c r="B407" t="s">
        <v>225</v>
      </c>
      <c r="C407" t="s">
        <v>233</v>
      </c>
      <c r="D407" t="s">
        <v>234</v>
      </c>
      <c r="E407" s="15" t="s">
        <v>374</v>
      </c>
      <c r="F407" t="s">
        <v>38</v>
      </c>
      <c r="G407" t="s">
        <v>139</v>
      </c>
      <c r="H407" t="s">
        <v>31</v>
      </c>
      <c r="I407" t="str">
        <f t="shared" ref="I407:I427" si="26">IF(J407&lt;&gt;"","UFDB","")</f>
        <v>UFDB</v>
      </c>
      <c r="J407" t="s">
        <v>815</v>
      </c>
      <c r="K407" t="s">
        <v>33</v>
      </c>
      <c r="L407" t="s">
        <v>43</v>
      </c>
      <c r="M407" t="s">
        <v>33</v>
      </c>
      <c r="N407" t="s">
        <v>43</v>
      </c>
      <c r="O407" t="s">
        <v>33</v>
      </c>
      <c r="P407" t="s">
        <v>43</v>
      </c>
      <c r="Q407" t="s">
        <v>33</v>
      </c>
      <c r="R407" t="s">
        <v>43</v>
      </c>
      <c r="T407" t="s">
        <v>43</v>
      </c>
      <c r="U407" t="str">
        <f t="shared" si="24"/>
        <v/>
      </c>
      <c r="V407" t="str">
        <f t="shared" si="25"/>
        <v/>
      </c>
    </row>
    <row r="408" spans="1:22" x14ac:dyDescent="0.2">
      <c r="A408" t="s">
        <v>816</v>
      </c>
      <c r="B408" t="s">
        <v>364</v>
      </c>
      <c r="C408" t="s">
        <v>370</v>
      </c>
      <c r="D408" t="s">
        <v>225</v>
      </c>
      <c r="F408" t="s">
        <v>323</v>
      </c>
      <c r="G408" t="s">
        <v>30</v>
      </c>
      <c r="H408" t="s">
        <v>31</v>
      </c>
      <c r="I408" t="str">
        <f t="shared" si="26"/>
        <v>UFDB</v>
      </c>
      <c r="J408" t="s">
        <v>817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T408" t="s">
        <v>43</v>
      </c>
      <c r="U408" t="str">
        <f t="shared" si="24"/>
        <v/>
      </c>
      <c r="V408" t="str">
        <f t="shared" si="25"/>
        <v>Ja</v>
      </c>
    </row>
    <row r="409" spans="1:22" x14ac:dyDescent="0.2">
      <c r="A409" t="s">
        <v>818</v>
      </c>
      <c r="B409" t="s">
        <v>225</v>
      </c>
      <c r="C409" t="s">
        <v>228</v>
      </c>
      <c r="D409" t="s">
        <v>229</v>
      </c>
      <c r="E409" t="s">
        <v>456</v>
      </c>
      <c r="F409" t="s">
        <v>323</v>
      </c>
      <c r="G409" t="s">
        <v>30</v>
      </c>
      <c r="H409" t="s">
        <v>31</v>
      </c>
      <c r="I409" t="str">
        <f t="shared" si="26"/>
        <v>UFDB</v>
      </c>
      <c r="J409" t="s">
        <v>819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T409" t="s">
        <v>43</v>
      </c>
      <c r="U409" t="str">
        <f t="shared" si="24"/>
        <v/>
      </c>
      <c r="V409" t="str">
        <f t="shared" si="25"/>
        <v>Ja</v>
      </c>
    </row>
    <row r="410" spans="1:22" x14ac:dyDescent="0.2">
      <c r="A410" t="s">
        <v>820</v>
      </c>
      <c r="B410" t="s">
        <v>225</v>
      </c>
      <c r="C410" t="s">
        <v>233</v>
      </c>
      <c r="D410" t="s">
        <v>234</v>
      </c>
      <c r="E410" t="s">
        <v>380</v>
      </c>
      <c r="F410" t="s">
        <v>323</v>
      </c>
      <c r="G410" t="s">
        <v>30</v>
      </c>
      <c r="H410" t="s">
        <v>31</v>
      </c>
      <c r="I410" t="str">
        <f t="shared" si="26"/>
        <v>UFDB</v>
      </c>
      <c r="J410" t="s">
        <v>821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T410" t="s">
        <v>43</v>
      </c>
      <c r="U410" t="str">
        <f t="shared" si="24"/>
        <v/>
      </c>
      <c r="V410" t="str">
        <f t="shared" si="25"/>
        <v>Ja</v>
      </c>
    </row>
    <row r="411" spans="1:22" x14ac:dyDescent="0.2">
      <c r="A411" t="s">
        <v>822</v>
      </c>
      <c r="B411" t="s">
        <v>364</v>
      </c>
      <c r="C411" t="s">
        <v>382</v>
      </c>
      <c r="D411" t="s">
        <v>143</v>
      </c>
      <c r="E411" t="s">
        <v>383</v>
      </c>
      <c r="F411" t="s">
        <v>323</v>
      </c>
      <c r="G411" t="s">
        <v>30</v>
      </c>
      <c r="H411" t="s">
        <v>31</v>
      </c>
      <c r="I411" t="str">
        <f t="shared" si="26"/>
        <v>UFDB</v>
      </c>
      <c r="J411" t="s">
        <v>823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T411" t="s">
        <v>43</v>
      </c>
      <c r="U411" t="str">
        <f t="shared" si="24"/>
        <v/>
      </c>
      <c r="V411" t="str">
        <f t="shared" si="25"/>
        <v>Ja</v>
      </c>
    </row>
    <row r="412" spans="1:22" x14ac:dyDescent="0.2">
      <c r="A412" t="s">
        <v>824</v>
      </c>
      <c r="B412" t="s">
        <v>357</v>
      </c>
      <c r="C412" t="s">
        <v>385</v>
      </c>
      <c r="D412" t="s">
        <v>367</v>
      </c>
      <c r="E412" t="s">
        <v>386</v>
      </c>
      <c r="F412" t="s">
        <v>323</v>
      </c>
      <c r="G412" t="s">
        <v>30</v>
      </c>
      <c r="H412" t="s">
        <v>31</v>
      </c>
      <c r="I412" t="str">
        <f t="shared" si="26"/>
        <v>UFDB</v>
      </c>
      <c r="J412" t="s">
        <v>821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T412" t="s">
        <v>43</v>
      </c>
      <c r="U412" t="str">
        <f t="shared" si="24"/>
        <v/>
      </c>
      <c r="V412" t="str">
        <f t="shared" si="25"/>
        <v>Ja</v>
      </c>
    </row>
    <row r="413" spans="1:22" x14ac:dyDescent="0.2">
      <c r="A413" t="s">
        <v>825</v>
      </c>
      <c r="B413" t="s">
        <v>357</v>
      </c>
      <c r="C413" t="s">
        <v>388</v>
      </c>
      <c r="D413" t="s">
        <v>367</v>
      </c>
      <c r="E413" t="s">
        <v>389</v>
      </c>
      <c r="F413" t="s">
        <v>323</v>
      </c>
      <c r="G413" t="s">
        <v>30</v>
      </c>
      <c r="H413" t="s">
        <v>31</v>
      </c>
      <c r="I413" t="str">
        <f t="shared" si="26"/>
        <v>UFDB</v>
      </c>
      <c r="J413" t="s">
        <v>823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T413" t="s">
        <v>43</v>
      </c>
      <c r="U413" t="str">
        <f t="shared" si="24"/>
        <v/>
      </c>
      <c r="V413" t="str">
        <f t="shared" si="25"/>
        <v>Ja</v>
      </c>
    </row>
    <row r="414" spans="1:22" x14ac:dyDescent="0.2">
      <c r="A414" t="s">
        <v>826</v>
      </c>
      <c r="B414" t="s">
        <v>357</v>
      </c>
      <c r="C414" t="s">
        <v>392</v>
      </c>
      <c r="D414" t="s">
        <v>367</v>
      </c>
      <c r="E414" t="s">
        <v>393</v>
      </c>
      <c r="F414" t="s">
        <v>323</v>
      </c>
      <c r="G414" t="s">
        <v>30</v>
      </c>
      <c r="H414" t="s">
        <v>31</v>
      </c>
      <c r="I414" t="str">
        <f t="shared" si="26"/>
        <v>UFDB</v>
      </c>
      <c r="J414" t="s">
        <v>827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T414" t="s">
        <v>43</v>
      </c>
      <c r="U414" t="str">
        <f t="shared" si="24"/>
        <v/>
      </c>
      <c r="V414" t="str">
        <f t="shared" si="25"/>
        <v>Ja</v>
      </c>
    </row>
    <row r="415" spans="1:22" x14ac:dyDescent="0.2">
      <c r="A415" t="s">
        <v>828</v>
      </c>
      <c r="B415" t="s">
        <v>357</v>
      </c>
      <c r="C415" t="s">
        <v>396</v>
      </c>
      <c r="D415" t="s">
        <v>36</v>
      </c>
      <c r="E415" t="s">
        <v>397</v>
      </c>
      <c r="F415" t="s">
        <v>323</v>
      </c>
      <c r="G415" t="s">
        <v>30</v>
      </c>
      <c r="H415" t="s">
        <v>31</v>
      </c>
      <c r="I415" t="str">
        <f t="shared" si="26"/>
        <v>UFDB</v>
      </c>
      <c r="J415" t="s">
        <v>829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T415" t="s">
        <v>43</v>
      </c>
      <c r="U415" t="str">
        <f t="shared" si="24"/>
        <v/>
      </c>
      <c r="V415" t="str">
        <f t="shared" si="25"/>
        <v>Ja</v>
      </c>
    </row>
    <row r="416" spans="1:22" x14ac:dyDescent="0.2">
      <c r="A416" t="s">
        <v>830</v>
      </c>
      <c r="B416" t="s">
        <v>357</v>
      </c>
      <c r="C416" t="s">
        <v>399</v>
      </c>
      <c r="D416" t="s">
        <v>143</v>
      </c>
      <c r="E416" t="s">
        <v>400</v>
      </c>
      <c r="F416" t="s">
        <v>323</v>
      </c>
      <c r="G416" t="s">
        <v>30</v>
      </c>
      <c r="H416" t="s">
        <v>31</v>
      </c>
      <c r="I416" t="str">
        <f t="shared" si="26"/>
        <v>UFDB</v>
      </c>
      <c r="J416" t="s">
        <v>831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T416" t="s">
        <v>43</v>
      </c>
      <c r="U416" t="str">
        <f t="shared" si="24"/>
        <v/>
      </c>
      <c r="V416" t="str">
        <f t="shared" si="25"/>
        <v>Ja</v>
      </c>
    </row>
    <row r="417" spans="1:22" x14ac:dyDescent="0.2">
      <c r="A417" t="s">
        <v>832</v>
      </c>
      <c r="B417" t="s">
        <v>350</v>
      </c>
      <c r="C417" t="s">
        <v>833</v>
      </c>
      <c r="D417" t="s">
        <v>354</v>
      </c>
      <c r="F417" t="s">
        <v>323</v>
      </c>
      <c r="G417" t="s">
        <v>30</v>
      </c>
      <c r="H417" t="s">
        <v>31</v>
      </c>
      <c r="I417" t="str">
        <f t="shared" si="26"/>
        <v>UFDB</v>
      </c>
      <c r="J417" t="s">
        <v>834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T417" t="s">
        <v>43</v>
      </c>
      <c r="U417" t="str">
        <f t="shared" si="24"/>
        <v/>
      </c>
      <c r="V417" t="str">
        <f t="shared" si="25"/>
        <v>Ja</v>
      </c>
    </row>
    <row r="418" spans="1:22" x14ac:dyDescent="0.2">
      <c r="A418" t="s">
        <v>835</v>
      </c>
      <c r="B418" t="s">
        <v>354</v>
      </c>
      <c r="C418" t="s">
        <v>356</v>
      </c>
      <c r="D418" t="s">
        <v>357</v>
      </c>
      <c r="F418" t="s">
        <v>323</v>
      </c>
      <c r="G418" t="s">
        <v>30</v>
      </c>
      <c r="H418" t="s">
        <v>31</v>
      </c>
      <c r="I418" t="str">
        <f t="shared" si="26"/>
        <v>UFDB</v>
      </c>
      <c r="J418" t="s">
        <v>836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T418" t="s">
        <v>43</v>
      </c>
      <c r="U418" t="str">
        <f t="shared" si="24"/>
        <v/>
      </c>
      <c r="V418" t="str">
        <f t="shared" si="25"/>
        <v>Ja</v>
      </c>
    </row>
    <row r="419" spans="1:22" x14ac:dyDescent="0.2">
      <c r="A419" t="s">
        <v>837</v>
      </c>
      <c r="B419" t="s">
        <v>357</v>
      </c>
      <c r="C419" t="s">
        <v>26</v>
      </c>
      <c r="D419" t="s">
        <v>27</v>
      </c>
      <c r="E419" t="s">
        <v>360</v>
      </c>
      <c r="F419" t="s">
        <v>323</v>
      </c>
      <c r="G419" t="s">
        <v>30</v>
      </c>
      <c r="H419" t="s">
        <v>31</v>
      </c>
      <c r="I419" t="str">
        <f t="shared" si="26"/>
        <v>UFDB</v>
      </c>
      <c r="J419" t="s">
        <v>838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T419" t="s">
        <v>43</v>
      </c>
      <c r="U419" t="str">
        <f t="shared" si="24"/>
        <v/>
      </c>
      <c r="V419" t="str">
        <f t="shared" si="25"/>
        <v>Ja</v>
      </c>
    </row>
    <row r="420" spans="1:22" x14ac:dyDescent="0.2">
      <c r="A420" t="s">
        <v>839</v>
      </c>
      <c r="B420" t="s">
        <v>357</v>
      </c>
      <c r="C420" t="s">
        <v>363</v>
      </c>
      <c r="D420" t="s">
        <v>364</v>
      </c>
      <c r="F420" t="s">
        <v>323</v>
      </c>
      <c r="G420" t="s">
        <v>30</v>
      </c>
      <c r="H420" t="s">
        <v>31</v>
      </c>
      <c r="I420" t="str">
        <f t="shared" si="26"/>
        <v>UFDB</v>
      </c>
      <c r="J420" t="s">
        <v>840</v>
      </c>
      <c r="K420" t="s">
        <v>43</v>
      </c>
      <c r="L420" t="s">
        <v>43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T420" t="s">
        <v>43</v>
      </c>
      <c r="U420" t="str">
        <f t="shared" si="24"/>
        <v/>
      </c>
      <c r="V420" t="str">
        <f t="shared" si="25"/>
        <v>Ja</v>
      </c>
    </row>
    <row r="421" spans="1:22" x14ac:dyDescent="0.2">
      <c r="A421" t="s">
        <v>841</v>
      </c>
      <c r="B421" t="s">
        <v>364</v>
      </c>
      <c r="C421" t="s">
        <v>366</v>
      </c>
      <c r="D421" t="s">
        <v>367</v>
      </c>
      <c r="E421" t="s">
        <v>450</v>
      </c>
      <c r="F421" t="s">
        <v>323</v>
      </c>
      <c r="G421" t="s">
        <v>30</v>
      </c>
      <c r="H421" t="s">
        <v>31</v>
      </c>
      <c r="I421" t="str">
        <f t="shared" si="26"/>
        <v>UFDB</v>
      </c>
      <c r="J421" t="s">
        <v>842</v>
      </c>
      <c r="K421" t="s">
        <v>43</v>
      </c>
      <c r="L421" t="s">
        <v>43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T421" t="s">
        <v>43</v>
      </c>
      <c r="U421" t="str">
        <f t="shared" si="24"/>
        <v/>
      </c>
      <c r="V421" t="str">
        <f t="shared" si="25"/>
        <v>Ja</v>
      </c>
    </row>
    <row r="422" spans="1:22" x14ac:dyDescent="0.2">
      <c r="A422" t="s">
        <v>843</v>
      </c>
      <c r="B422" t="s">
        <v>364</v>
      </c>
      <c r="C422" t="s">
        <v>370</v>
      </c>
      <c r="D422" t="s">
        <v>225</v>
      </c>
      <c r="F422" t="s">
        <v>323</v>
      </c>
      <c r="G422" t="s">
        <v>30</v>
      </c>
      <c r="H422" t="s">
        <v>31</v>
      </c>
      <c r="I422" t="str">
        <f t="shared" si="26"/>
        <v>UFDB</v>
      </c>
      <c r="J422" t="s">
        <v>840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T422" t="s">
        <v>43</v>
      </c>
      <c r="U422" t="str">
        <f t="shared" si="24"/>
        <v/>
      </c>
      <c r="V422" t="str">
        <f t="shared" si="25"/>
        <v>Ja</v>
      </c>
    </row>
    <row r="423" spans="1:22" x14ac:dyDescent="0.2">
      <c r="A423" t="s">
        <v>844</v>
      </c>
      <c r="B423" t="s">
        <v>225</v>
      </c>
      <c r="C423" t="s">
        <v>228</v>
      </c>
      <c r="D423" t="s">
        <v>229</v>
      </c>
      <c r="E423" t="s">
        <v>372</v>
      </c>
      <c r="F423" t="s">
        <v>323</v>
      </c>
      <c r="G423" t="s">
        <v>30</v>
      </c>
      <c r="H423" t="s">
        <v>31</v>
      </c>
      <c r="I423" t="str">
        <f t="shared" si="26"/>
        <v>UFDB</v>
      </c>
      <c r="J423" t="s">
        <v>842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T423" t="s">
        <v>43</v>
      </c>
      <c r="U423" t="str">
        <f t="shared" si="24"/>
        <v/>
      </c>
      <c r="V423" t="str">
        <f t="shared" si="25"/>
        <v>Ja</v>
      </c>
    </row>
    <row r="424" spans="1:22" x14ac:dyDescent="0.2">
      <c r="A424" t="s">
        <v>845</v>
      </c>
      <c r="B424" t="s">
        <v>225</v>
      </c>
      <c r="C424" t="s">
        <v>233</v>
      </c>
      <c r="D424" t="s">
        <v>234</v>
      </c>
      <c r="E424" t="s">
        <v>374</v>
      </c>
      <c r="F424" t="s">
        <v>323</v>
      </c>
      <c r="G424" t="s">
        <v>30</v>
      </c>
      <c r="H424" t="s">
        <v>31</v>
      </c>
      <c r="I424" t="str">
        <f t="shared" si="26"/>
        <v>UFDB</v>
      </c>
      <c r="J424" t="s">
        <v>846</v>
      </c>
      <c r="K424" t="s">
        <v>43</v>
      </c>
      <c r="L424" t="s">
        <v>43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43</v>
      </c>
      <c r="T424" t="s">
        <v>43</v>
      </c>
      <c r="U424" t="str">
        <f t="shared" si="24"/>
        <v/>
      </c>
      <c r="V424" t="str">
        <f t="shared" si="25"/>
        <v>Ja</v>
      </c>
    </row>
    <row r="425" spans="1:22" x14ac:dyDescent="0.2">
      <c r="A425" t="s">
        <v>847</v>
      </c>
      <c r="B425" t="s">
        <v>364</v>
      </c>
      <c r="C425" t="s">
        <v>370</v>
      </c>
      <c r="D425" t="s">
        <v>225</v>
      </c>
      <c r="F425" t="s">
        <v>323</v>
      </c>
      <c r="G425" t="s">
        <v>30</v>
      </c>
      <c r="H425" t="s">
        <v>31</v>
      </c>
      <c r="I425" t="str">
        <f t="shared" si="26"/>
        <v>UFDB</v>
      </c>
      <c r="J425" t="s">
        <v>848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43</v>
      </c>
      <c r="T425" t="s">
        <v>43</v>
      </c>
      <c r="U425" t="str">
        <f t="shared" si="24"/>
        <v/>
      </c>
      <c r="V425" t="str">
        <f t="shared" si="25"/>
        <v>Ja</v>
      </c>
    </row>
    <row r="426" spans="1:22" x14ac:dyDescent="0.2">
      <c r="A426" t="s">
        <v>849</v>
      </c>
      <c r="B426" t="s">
        <v>225</v>
      </c>
      <c r="C426" t="s">
        <v>228</v>
      </c>
      <c r="D426" t="s">
        <v>229</v>
      </c>
      <c r="E426" t="s">
        <v>475</v>
      </c>
      <c r="F426" t="s">
        <v>323</v>
      </c>
      <c r="G426" t="s">
        <v>30</v>
      </c>
      <c r="H426" t="s">
        <v>31</v>
      </c>
      <c r="I426" t="str">
        <f t="shared" si="26"/>
        <v>UFDB</v>
      </c>
      <c r="J426" t="s">
        <v>850</v>
      </c>
      <c r="K426" t="s">
        <v>43</v>
      </c>
      <c r="L426" t="s">
        <v>43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43</v>
      </c>
      <c r="T426" t="s">
        <v>43</v>
      </c>
      <c r="U426" t="str">
        <f t="shared" si="24"/>
        <v/>
      </c>
      <c r="V426" t="str">
        <f t="shared" si="25"/>
        <v>Ja</v>
      </c>
    </row>
    <row r="427" spans="1:22" x14ac:dyDescent="0.2">
      <c r="A427" t="s">
        <v>851</v>
      </c>
      <c r="B427" t="s">
        <v>225</v>
      </c>
      <c r="C427" t="s">
        <v>233</v>
      </c>
      <c r="D427" t="s">
        <v>234</v>
      </c>
      <c r="E427" t="s">
        <v>380</v>
      </c>
      <c r="F427" t="s">
        <v>323</v>
      </c>
      <c r="G427" t="s">
        <v>30</v>
      </c>
      <c r="H427" t="s">
        <v>31</v>
      </c>
      <c r="I427" t="str">
        <f t="shared" si="26"/>
        <v>UFDB</v>
      </c>
      <c r="J427" t="s">
        <v>852</v>
      </c>
      <c r="K427" t="s">
        <v>43</v>
      </c>
      <c r="L427" t="s">
        <v>43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43</v>
      </c>
      <c r="T427" t="s">
        <v>43</v>
      </c>
      <c r="U427" t="str">
        <f t="shared" si="24"/>
        <v/>
      </c>
      <c r="V427" t="str">
        <f t="shared" si="25"/>
        <v>Ja</v>
      </c>
    </row>
    <row r="428" spans="1:22" x14ac:dyDescent="0.2">
      <c r="A428" t="s">
        <v>853</v>
      </c>
      <c r="B428" t="s">
        <v>364</v>
      </c>
      <c r="C428" t="s">
        <v>382</v>
      </c>
      <c r="D428" t="s">
        <v>143</v>
      </c>
      <c r="E428" s="15" t="s">
        <v>383</v>
      </c>
      <c r="F428" t="s">
        <v>323</v>
      </c>
      <c r="G428" t="s">
        <v>30</v>
      </c>
      <c r="H428" t="s">
        <v>31</v>
      </c>
      <c r="I428" t="s">
        <v>111</v>
      </c>
      <c r="J428" t="s">
        <v>813</v>
      </c>
      <c r="K428" t="s">
        <v>33</v>
      </c>
      <c r="L428" t="s">
        <v>43</v>
      </c>
      <c r="M428" t="s">
        <v>33</v>
      </c>
      <c r="N428" t="s">
        <v>43</v>
      </c>
      <c r="O428" t="s">
        <v>33</v>
      </c>
      <c r="P428" t="s">
        <v>43</v>
      </c>
      <c r="Q428" t="s">
        <v>33</v>
      </c>
      <c r="R428" t="s">
        <v>43</v>
      </c>
      <c r="T428" t="s">
        <v>43</v>
      </c>
      <c r="U428" t="str">
        <f t="shared" si="24"/>
        <v/>
      </c>
      <c r="V428" t="str">
        <f t="shared" si="25"/>
        <v/>
      </c>
    </row>
    <row r="429" spans="1:22" x14ac:dyDescent="0.2">
      <c r="A429" t="s">
        <v>854</v>
      </c>
      <c r="B429" t="s">
        <v>357</v>
      </c>
      <c r="C429" t="s">
        <v>385</v>
      </c>
      <c r="D429" t="s">
        <v>367</v>
      </c>
      <c r="E429" s="15" t="s">
        <v>386</v>
      </c>
      <c r="F429" t="s">
        <v>29</v>
      </c>
      <c r="G429" t="s">
        <v>30</v>
      </c>
      <c r="H429" t="s">
        <v>31</v>
      </c>
      <c r="I429" t="str">
        <f t="shared" ref="I429:I434" si="27">IF(J429&lt;&gt;"","UFDB","")</f>
        <v>UFDB</v>
      </c>
      <c r="J429" t="s">
        <v>855</v>
      </c>
      <c r="K429" t="s">
        <v>33</v>
      </c>
      <c r="L429" t="s">
        <v>43</v>
      </c>
      <c r="M429" t="s">
        <v>33</v>
      </c>
      <c r="N429" t="s">
        <v>43</v>
      </c>
      <c r="O429" t="s">
        <v>33</v>
      </c>
      <c r="P429" t="s">
        <v>43</v>
      </c>
      <c r="Q429" t="s">
        <v>33</v>
      </c>
      <c r="R429" t="s">
        <v>43</v>
      </c>
      <c r="T429" t="s">
        <v>43</v>
      </c>
      <c r="U429" t="str">
        <f t="shared" si="24"/>
        <v/>
      </c>
      <c r="V429" t="str">
        <f t="shared" si="25"/>
        <v/>
      </c>
    </row>
    <row r="430" spans="1:22" x14ac:dyDescent="0.2">
      <c r="A430" t="s">
        <v>856</v>
      </c>
      <c r="B430" t="s">
        <v>357</v>
      </c>
      <c r="C430" t="s">
        <v>388</v>
      </c>
      <c r="D430" t="s">
        <v>367</v>
      </c>
      <c r="E430" s="15" t="s">
        <v>389</v>
      </c>
      <c r="F430" t="s">
        <v>323</v>
      </c>
      <c r="G430" t="s">
        <v>30</v>
      </c>
      <c r="H430" t="s">
        <v>31</v>
      </c>
      <c r="I430" t="str">
        <f t="shared" si="27"/>
        <v>UFDB</v>
      </c>
      <c r="J430" t="s">
        <v>857</v>
      </c>
      <c r="K430" t="s">
        <v>33</v>
      </c>
      <c r="L430" t="s">
        <v>43</v>
      </c>
      <c r="M430" t="s">
        <v>33</v>
      </c>
      <c r="N430" t="s">
        <v>43</v>
      </c>
      <c r="O430" t="s">
        <v>33</v>
      </c>
      <c r="P430" t="s">
        <v>43</v>
      </c>
      <c r="Q430" t="s">
        <v>33</v>
      </c>
      <c r="R430" t="s">
        <v>43</v>
      </c>
      <c r="T430" t="s">
        <v>43</v>
      </c>
      <c r="U430" t="str">
        <f t="shared" si="24"/>
        <v/>
      </c>
      <c r="V430" t="str">
        <f t="shared" si="25"/>
        <v/>
      </c>
    </row>
    <row r="431" spans="1:22" x14ac:dyDescent="0.2">
      <c r="A431" t="s">
        <v>858</v>
      </c>
      <c r="B431" t="s">
        <v>357</v>
      </c>
      <c r="C431" t="s">
        <v>392</v>
      </c>
      <c r="D431" t="s">
        <v>367</v>
      </c>
      <c r="E431" s="15" t="s">
        <v>393</v>
      </c>
      <c r="F431" t="s">
        <v>38</v>
      </c>
      <c r="G431" t="s">
        <v>30</v>
      </c>
      <c r="H431" t="s">
        <v>31</v>
      </c>
      <c r="I431" t="str">
        <f t="shared" si="27"/>
        <v>UFDB</v>
      </c>
      <c r="J431" t="s">
        <v>859</v>
      </c>
      <c r="K431" t="s">
        <v>33</v>
      </c>
      <c r="L431" t="s">
        <v>43</v>
      </c>
      <c r="M431" t="s">
        <v>33</v>
      </c>
      <c r="N431" t="s">
        <v>43</v>
      </c>
      <c r="O431" t="s">
        <v>33</v>
      </c>
      <c r="P431" t="s">
        <v>43</v>
      </c>
      <c r="Q431" t="s">
        <v>33</v>
      </c>
      <c r="R431" t="s">
        <v>43</v>
      </c>
      <c r="T431" t="s">
        <v>43</v>
      </c>
      <c r="U431" t="str">
        <f t="shared" si="24"/>
        <v/>
      </c>
      <c r="V431" t="str">
        <f t="shared" si="25"/>
        <v/>
      </c>
    </row>
    <row r="432" spans="1:22" x14ac:dyDescent="0.2">
      <c r="A432" t="s">
        <v>860</v>
      </c>
      <c r="B432" t="s">
        <v>357</v>
      </c>
      <c r="C432" t="s">
        <v>396</v>
      </c>
      <c r="D432" t="s">
        <v>36</v>
      </c>
      <c r="E432" s="15" t="s">
        <v>397</v>
      </c>
      <c r="F432" t="s">
        <v>38</v>
      </c>
      <c r="G432" t="s">
        <v>30</v>
      </c>
      <c r="H432" t="s">
        <v>31</v>
      </c>
      <c r="I432" t="str">
        <f t="shared" si="27"/>
        <v>UFDB</v>
      </c>
      <c r="J432" t="s">
        <v>861</v>
      </c>
      <c r="K432" t="s">
        <v>33</v>
      </c>
      <c r="L432" t="s">
        <v>43</v>
      </c>
      <c r="M432" t="s">
        <v>33</v>
      </c>
      <c r="N432" t="s">
        <v>43</v>
      </c>
      <c r="O432" t="s">
        <v>33</v>
      </c>
      <c r="P432" t="s">
        <v>43</v>
      </c>
      <c r="Q432" t="s">
        <v>33</v>
      </c>
      <c r="R432" t="s">
        <v>43</v>
      </c>
      <c r="T432" t="s">
        <v>43</v>
      </c>
      <c r="U432" t="str">
        <f t="shared" si="24"/>
        <v/>
      </c>
      <c r="V432" t="str">
        <f t="shared" si="25"/>
        <v/>
      </c>
    </row>
    <row r="433" spans="1:22" x14ac:dyDescent="0.2">
      <c r="A433" t="s">
        <v>862</v>
      </c>
      <c r="B433" t="s">
        <v>357</v>
      </c>
      <c r="C433" t="s">
        <v>399</v>
      </c>
      <c r="D433" t="s">
        <v>143</v>
      </c>
      <c r="E433" s="15" t="s">
        <v>400</v>
      </c>
      <c r="F433" t="s">
        <v>323</v>
      </c>
      <c r="G433" t="s">
        <v>30</v>
      </c>
      <c r="H433" t="s">
        <v>31</v>
      </c>
      <c r="I433" t="str">
        <f t="shared" si="27"/>
        <v>UFDB</v>
      </c>
      <c r="J433" t="s">
        <v>863</v>
      </c>
      <c r="K433" t="s">
        <v>33</v>
      </c>
      <c r="L433" t="s">
        <v>43</v>
      </c>
      <c r="M433" t="s">
        <v>33</v>
      </c>
      <c r="N433" t="s">
        <v>43</v>
      </c>
      <c r="O433" t="s">
        <v>33</v>
      </c>
      <c r="P433" t="s">
        <v>43</v>
      </c>
      <c r="Q433" t="s">
        <v>33</v>
      </c>
      <c r="R433" t="s">
        <v>43</v>
      </c>
      <c r="T433" t="s">
        <v>43</v>
      </c>
      <c r="U433" t="str">
        <f t="shared" si="24"/>
        <v/>
      </c>
      <c r="V433" t="str">
        <f t="shared" si="25"/>
        <v/>
      </c>
    </row>
    <row r="434" spans="1:22" x14ac:dyDescent="0.2">
      <c r="A434" t="s">
        <v>864</v>
      </c>
      <c r="B434" t="s">
        <v>354</v>
      </c>
      <c r="C434" t="s">
        <v>402</v>
      </c>
      <c r="D434" t="s">
        <v>357</v>
      </c>
      <c r="E434" s="15"/>
      <c r="F434" t="s">
        <v>323</v>
      </c>
      <c r="G434" t="s">
        <v>30</v>
      </c>
      <c r="H434" t="s">
        <v>31</v>
      </c>
      <c r="I434" t="str">
        <f t="shared" si="27"/>
        <v>UFDB</v>
      </c>
      <c r="J434" t="s">
        <v>865</v>
      </c>
      <c r="K434" t="s">
        <v>33</v>
      </c>
      <c r="L434" t="s">
        <v>43</v>
      </c>
      <c r="M434" t="s">
        <v>33</v>
      </c>
      <c r="N434" t="s">
        <v>43</v>
      </c>
      <c r="O434" t="s">
        <v>33</v>
      </c>
      <c r="P434" t="s">
        <v>43</v>
      </c>
      <c r="Q434" t="s">
        <v>33</v>
      </c>
      <c r="R434" t="s">
        <v>43</v>
      </c>
      <c r="T434" t="s">
        <v>43</v>
      </c>
      <c r="U434" t="str">
        <f t="shared" si="24"/>
        <v/>
      </c>
      <c r="V434" t="str">
        <f t="shared" si="25"/>
        <v/>
      </c>
    </row>
    <row r="435" spans="1:22" x14ac:dyDescent="0.2">
      <c r="A435" t="s">
        <v>866</v>
      </c>
      <c r="B435" t="s">
        <v>357</v>
      </c>
      <c r="C435" t="s">
        <v>26</v>
      </c>
      <c r="D435" t="s">
        <v>27</v>
      </c>
      <c r="E435" s="15" t="s">
        <v>360</v>
      </c>
      <c r="F435" t="s">
        <v>323</v>
      </c>
      <c r="G435" t="s">
        <v>30</v>
      </c>
      <c r="H435" t="s">
        <v>31</v>
      </c>
      <c r="I435" t="s">
        <v>111</v>
      </c>
      <c r="J435" t="s">
        <v>867</v>
      </c>
      <c r="K435" t="s">
        <v>33</v>
      </c>
      <c r="L435" t="s">
        <v>43</v>
      </c>
      <c r="M435" t="s">
        <v>33</v>
      </c>
      <c r="N435" t="s">
        <v>43</v>
      </c>
      <c r="O435" t="s">
        <v>33</v>
      </c>
      <c r="P435" t="s">
        <v>43</v>
      </c>
      <c r="Q435" t="s">
        <v>33</v>
      </c>
      <c r="R435" t="s">
        <v>43</v>
      </c>
      <c r="T435" t="s">
        <v>43</v>
      </c>
      <c r="U435" t="str">
        <f t="shared" si="24"/>
        <v/>
      </c>
      <c r="V435" t="str">
        <f t="shared" si="25"/>
        <v/>
      </c>
    </row>
    <row r="436" spans="1:22" x14ac:dyDescent="0.2">
      <c r="A436" t="s">
        <v>868</v>
      </c>
      <c r="B436" t="s">
        <v>357</v>
      </c>
      <c r="C436" t="s">
        <v>363</v>
      </c>
      <c r="D436" t="s">
        <v>364</v>
      </c>
      <c r="E436" s="15"/>
      <c r="F436" t="s">
        <v>38</v>
      </c>
      <c r="G436" t="s">
        <v>139</v>
      </c>
      <c r="H436" t="s">
        <v>31</v>
      </c>
      <c r="I436" t="str">
        <f t="shared" ref="I436:I456" si="28">IF(J436&lt;&gt;"","UFDB","")</f>
        <v>UFDB</v>
      </c>
      <c r="J436" t="s">
        <v>869</v>
      </c>
      <c r="K436" t="s">
        <v>33</v>
      </c>
      <c r="L436" t="s">
        <v>43</v>
      </c>
      <c r="M436" t="s">
        <v>33</v>
      </c>
      <c r="N436" t="s">
        <v>43</v>
      </c>
      <c r="O436" t="s">
        <v>33</v>
      </c>
      <c r="P436" t="s">
        <v>43</v>
      </c>
      <c r="Q436" t="s">
        <v>33</v>
      </c>
      <c r="R436" t="s">
        <v>43</v>
      </c>
      <c r="T436" t="s">
        <v>43</v>
      </c>
      <c r="U436" t="str">
        <f t="shared" si="24"/>
        <v/>
      </c>
      <c r="V436" t="str">
        <f t="shared" si="25"/>
        <v/>
      </c>
    </row>
    <row r="437" spans="1:22" x14ac:dyDescent="0.2">
      <c r="A437" t="s">
        <v>870</v>
      </c>
      <c r="B437" t="s">
        <v>364</v>
      </c>
      <c r="C437" t="s">
        <v>366</v>
      </c>
      <c r="D437" t="s">
        <v>367</v>
      </c>
      <c r="E437" t="s">
        <v>368</v>
      </c>
      <c r="F437" t="s">
        <v>323</v>
      </c>
      <c r="G437" t="s">
        <v>30</v>
      </c>
      <c r="H437" t="s">
        <v>31</v>
      </c>
      <c r="I437" t="str">
        <f t="shared" si="28"/>
        <v>UFDB</v>
      </c>
      <c r="J437" t="s">
        <v>871</v>
      </c>
      <c r="K437" t="s">
        <v>43</v>
      </c>
      <c r="L437" t="s">
        <v>43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43</v>
      </c>
      <c r="T437" t="s">
        <v>43</v>
      </c>
      <c r="U437" t="str">
        <f t="shared" si="24"/>
        <v/>
      </c>
      <c r="V437" t="str">
        <f t="shared" si="25"/>
        <v>Ja</v>
      </c>
    </row>
    <row r="438" spans="1:22" x14ac:dyDescent="0.2">
      <c r="A438" t="s">
        <v>872</v>
      </c>
      <c r="B438" t="s">
        <v>364</v>
      </c>
      <c r="C438" t="s">
        <v>370</v>
      </c>
      <c r="D438" t="s">
        <v>225</v>
      </c>
      <c r="F438" t="s">
        <v>323</v>
      </c>
      <c r="G438" t="s">
        <v>30</v>
      </c>
      <c r="H438" t="s">
        <v>31</v>
      </c>
      <c r="I438" t="str">
        <f t="shared" si="28"/>
        <v>UFDB</v>
      </c>
      <c r="J438" t="s">
        <v>873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43</v>
      </c>
      <c r="T438" t="s">
        <v>43</v>
      </c>
      <c r="U438" t="str">
        <f t="shared" si="24"/>
        <v/>
      </c>
      <c r="V438" t="str">
        <f t="shared" si="25"/>
        <v>Ja</v>
      </c>
    </row>
    <row r="439" spans="1:22" x14ac:dyDescent="0.2">
      <c r="A439" t="s">
        <v>874</v>
      </c>
      <c r="B439" t="s">
        <v>225</v>
      </c>
      <c r="C439" t="s">
        <v>228</v>
      </c>
      <c r="D439" t="s">
        <v>229</v>
      </c>
      <c r="E439" t="s">
        <v>372</v>
      </c>
      <c r="F439" t="s">
        <v>323</v>
      </c>
      <c r="G439" t="s">
        <v>30</v>
      </c>
      <c r="H439" t="s">
        <v>31</v>
      </c>
      <c r="I439" t="str">
        <f t="shared" si="28"/>
        <v>UFDB</v>
      </c>
      <c r="J439" t="s">
        <v>875</v>
      </c>
      <c r="K439" t="s">
        <v>43</v>
      </c>
      <c r="L439" t="s">
        <v>43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43</v>
      </c>
      <c r="T439" t="s">
        <v>43</v>
      </c>
      <c r="U439" t="str">
        <f t="shared" si="24"/>
        <v/>
      </c>
      <c r="V439" t="str">
        <f t="shared" si="25"/>
        <v>Ja</v>
      </c>
    </row>
    <row r="440" spans="1:22" x14ac:dyDescent="0.2">
      <c r="A440" t="s">
        <v>876</v>
      </c>
      <c r="B440" t="s">
        <v>225</v>
      </c>
      <c r="C440" t="s">
        <v>233</v>
      </c>
      <c r="D440" t="s">
        <v>234</v>
      </c>
      <c r="E440" t="s">
        <v>374</v>
      </c>
      <c r="F440" t="s">
        <v>323</v>
      </c>
      <c r="G440" t="s">
        <v>30</v>
      </c>
      <c r="H440" t="s">
        <v>31</v>
      </c>
      <c r="I440" t="str">
        <f t="shared" si="28"/>
        <v>UFDB</v>
      </c>
      <c r="J440" t="s">
        <v>877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T440" t="s">
        <v>43</v>
      </c>
      <c r="U440" t="str">
        <f t="shared" si="24"/>
        <v/>
      </c>
      <c r="V440" t="str">
        <f t="shared" si="25"/>
        <v>Ja</v>
      </c>
    </row>
    <row r="441" spans="1:22" x14ac:dyDescent="0.2">
      <c r="A441" t="s">
        <v>878</v>
      </c>
      <c r="B441" t="s">
        <v>364</v>
      </c>
      <c r="C441" t="s">
        <v>370</v>
      </c>
      <c r="D441" t="s">
        <v>225</v>
      </c>
      <c r="F441" t="s">
        <v>323</v>
      </c>
      <c r="G441" t="s">
        <v>30</v>
      </c>
      <c r="H441" t="s">
        <v>31</v>
      </c>
      <c r="I441" t="str">
        <f t="shared" si="28"/>
        <v>UFDB</v>
      </c>
      <c r="J441" t="s">
        <v>875</v>
      </c>
      <c r="K441" t="s">
        <v>43</v>
      </c>
      <c r="L441" t="s">
        <v>43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43</v>
      </c>
      <c r="T441" t="s">
        <v>43</v>
      </c>
      <c r="U441" t="str">
        <f t="shared" si="24"/>
        <v/>
      </c>
      <c r="V441" t="str">
        <f t="shared" si="25"/>
        <v>Ja</v>
      </c>
    </row>
    <row r="442" spans="1:22" x14ac:dyDescent="0.2">
      <c r="A442" t="s">
        <v>879</v>
      </c>
      <c r="B442" t="s">
        <v>225</v>
      </c>
      <c r="C442" t="s">
        <v>228</v>
      </c>
      <c r="D442" t="s">
        <v>229</v>
      </c>
      <c r="E442" t="s">
        <v>496</v>
      </c>
      <c r="F442" t="s">
        <v>323</v>
      </c>
      <c r="G442" t="s">
        <v>30</v>
      </c>
      <c r="H442" t="s">
        <v>31</v>
      </c>
      <c r="I442" t="str">
        <f t="shared" si="28"/>
        <v>UFDB</v>
      </c>
      <c r="J442" t="s">
        <v>877</v>
      </c>
      <c r="K442" t="s">
        <v>43</v>
      </c>
      <c r="L442" t="s">
        <v>43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43</v>
      </c>
      <c r="T442" t="s">
        <v>43</v>
      </c>
      <c r="U442" t="str">
        <f t="shared" si="24"/>
        <v/>
      </c>
      <c r="V442" t="str">
        <f t="shared" si="25"/>
        <v>Ja</v>
      </c>
    </row>
    <row r="443" spans="1:22" x14ac:dyDescent="0.2">
      <c r="A443" t="s">
        <v>880</v>
      </c>
      <c r="B443" t="s">
        <v>225</v>
      </c>
      <c r="C443" t="s">
        <v>233</v>
      </c>
      <c r="D443" t="s">
        <v>234</v>
      </c>
      <c r="E443" t="s">
        <v>380</v>
      </c>
      <c r="F443" t="s">
        <v>323</v>
      </c>
      <c r="G443" t="s">
        <v>30</v>
      </c>
      <c r="H443" t="s">
        <v>31</v>
      </c>
      <c r="I443" t="str">
        <f t="shared" si="28"/>
        <v>UFDB</v>
      </c>
      <c r="J443" t="s">
        <v>881</v>
      </c>
      <c r="K443" t="s">
        <v>43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T443" t="s">
        <v>43</v>
      </c>
      <c r="U443" t="str">
        <f t="shared" si="24"/>
        <v/>
      </c>
      <c r="V443" t="str">
        <f t="shared" si="25"/>
        <v>Ja</v>
      </c>
    </row>
    <row r="444" spans="1:22" x14ac:dyDescent="0.2">
      <c r="A444" t="s">
        <v>882</v>
      </c>
      <c r="B444" t="s">
        <v>364</v>
      </c>
      <c r="C444" t="s">
        <v>382</v>
      </c>
      <c r="D444" t="s">
        <v>143</v>
      </c>
      <c r="E444" t="s">
        <v>383</v>
      </c>
      <c r="F444" t="s">
        <v>323</v>
      </c>
      <c r="G444" t="s">
        <v>30</v>
      </c>
      <c r="H444" t="s">
        <v>31</v>
      </c>
      <c r="I444" t="str">
        <f t="shared" si="28"/>
        <v>UFDB</v>
      </c>
      <c r="J444" t="s">
        <v>883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T444" t="s">
        <v>43</v>
      </c>
      <c r="U444" t="str">
        <f t="shared" si="24"/>
        <v/>
      </c>
      <c r="V444" t="str">
        <f t="shared" si="25"/>
        <v>Ja</v>
      </c>
    </row>
    <row r="445" spans="1:22" x14ac:dyDescent="0.2">
      <c r="A445" t="s">
        <v>884</v>
      </c>
      <c r="B445" t="s">
        <v>357</v>
      </c>
      <c r="C445" t="s">
        <v>385</v>
      </c>
      <c r="D445" t="s">
        <v>367</v>
      </c>
      <c r="E445" t="s">
        <v>386</v>
      </c>
      <c r="F445" t="s">
        <v>323</v>
      </c>
      <c r="G445" t="s">
        <v>30</v>
      </c>
      <c r="H445" t="s">
        <v>31</v>
      </c>
      <c r="I445" t="str">
        <f t="shared" si="28"/>
        <v>UFDB</v>
      </c>
      <c r="J445" t="s">
        <v>885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T445" t="s">
        <v>43</v>
      </c>
      <c r="U445" t="str">
        <f t="shared" si="24"/>
        <v/>
      </c>
      <c r="V445" t="str">
        <f t="shared" si="25"/>
        <v>Ja</v>
      </c>
    </row>
    <row r="446" spans="1:22" x14ac:dyDescent="0.2">
      <c r="A446" t="s">
        <v>886</v>
      </c>
      <c r="B446" t="s">
        <v>357</v>
      </c>
      <c r="C446" t="s">
        <v>388</v>
      </c>
      <c r="D446" t="s">
        <v>367</v>
      </c>
      <c r="E446" t="s">
        <v>389</v>
      </c>
      <c r="F446" t="s">
        <v>323</v>
      </c>
      <c r="G446" t="s">
        <v>30</v>
      </c>
      <c r="H446" t="s">
        <v>31</v>
      </c>
      <c r="I446" t="str">
        <f t="shared" si="28"/>
        <v>UFDB</v>
      </c>
      <c r="J446" t="s">
        <v>887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T446" t="s">
        <v>43</v>
      </c>
      <c r="U446" t="str">
        <f t="shared" si="24"/>
        <v/>
      </c>
      <c r="V446" t="str">
        <f t="shared" si="25"/>
        <v>Ja</v>
      </c>
    </row>
    <row r="447" spans="1:22" x14ac:dyDescent="0.2">
      <c r="A447" t="s">
        <v>888</v>
      </c>
      <c r="B447" t="s">
        <v>357</v>
      </c>
      <c r="C447" t="s">
        <v>392</v>
      </c>
      <c r="D447" t="s">
        <v>367</v>
      </c>
      <c r="E447" t="s">
        <v>393</v>
      </c>
      <c r="F447" t="s">
        <v>323</v>
      </c>
      <c r="G447" t="s">
        <v>30</v>
      </c>
      <c r="H447" t="s">
        <v>31</v>
      </c>
      <c r="I447" t="str">
        <f t="shared" si="28"/>
        <v>UFDB</v>
      </c>
      <c r="J447" t="s">
        <v>889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T447" t="s">
        <v>43</v>
      </c>
      <c r="U447" t="str">
        <f t="shared" si="24"/>
        <v/>
      </c>
      <c r="V447" t="str">
        <f t="shared" si="25"/>
        <v>Ja</v>
      </c>
    </row>
    <row r="448" spans="1:22" x14ac:dyDescent="0.2">
      <c r="A448" t="s">
        <v>890</v>
      </c>
      <c r="B448" t="s">
        <v>357</v>
      </c>
      <c r="C448" t="s">
        <v>396</v>
      </c>
      <c r="D448" t="s">
        <v>36</v>
      </c>
      <c r="E448" t="s">
        <v>397</v>
      </c>
      <c r="F448" t="s">
        <v>323</v>
      </c>
      <c r="G448" t="s">
        <v>30</v>
      </c>
      <c r="H448" t="s">
        <v>31</v>
      </c>
      <c r="I448" t="str">
        <f t="shared" si="28"/>
        <v>UFDB</v>
      </c>
      <c r="J448" t="s">
        <v>891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T448" t="s">
        <v>43</v>
      </c>
      <c r="U448" t="str">
        <f t="shared" si="24"/>
        <v/>
      </c>
      <c r="V448" t="str">
        <f t="shared" si="25"/>
        <v>Ja</v>
      </c>
    </row>
    <row r="449" spans="1:22" x14ac:dyDescent="0.2">
      <c r="A449" t="s">
        <v>892</v>
      </c>
      <c r="B449" t="s">
        <v>357</v>
      </c>
      <c r="C449" t="s">
        <v>399</v>
      </c>
      <c r="D449" t="s">
        <v>143</v>
      </c>
      <c r="E449" t="s">
        <v>400</v>
      </c>
      <c r="F449" t="s">
        <v>323</v>
      </c>
      <c r="G449" t="s">
        <v>30</v>
      </c>
      <c r="H449" t="s">
        <v>31</v>
      </c>
      <c r="I449" t="str">
        <f t="shared" si="28"/>
        <v>UFDB</v>
      </c>
      <c r="J449" t="s">
        <v>893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T449" t="s">
        <v>43</v>
      </c>
      <c r="U449" t="str">
        <f t="shared" si="24"/>
        <v/>
      </c>
      <c r="V449" t="str">
        <f t="shared" si="25"/>
        <v>Ja</v>
      </c>
    </row>
    <row r="450" spans="1:22" x14ac:dyDescent="0.2">
      <c r="A450" t="s">
        <v>894</v>
      </c>
      <c r="B450" t="s">
        <v>354</v>
      </c>
      <c r="C450" t="s">
        <v>425</v>
      </c>
      <c r="D450" t="s">
        <v>357</v>
      </c>
      <c r="F450" t="s">
        <v>323</v>
      </c>
      <c r="G450" t="s">
        <v>30</v>
      </c>
      <c r="H450" t="s">
        <v>31</v>
      </c>
      <c r="I450" t="str">
        <f t="shared" si="28"/>
        <v>UFDB</v>
      </c>
      <c r="J450" t="s">
        <v>895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T450" t="s">
        <v>43</v>
      </c>
      <c r="U450" t="str">
        <f t="shared" si="24"/>
        <v/>
      </c>
      <c r="V450" t="str">
        <f t="shared" si="25"/>
        <v>Ja</v>
      </c>
    </row>
    <row r="451" spans="1:22" x14ac:dyDescent="0.2">
      <c r="A451" t="s">
        <v>896</v>
      </c>
      <c r="B451" t="s">
        <v>357</v>
      </c>
      <c r="C451" t="s">
        <v>26</v>
      </c>
      <c r="D451" t="s">
        <v>27</v>
      </c>
      <c r="E451" t="s">
        <v>360</v>
      </c>
      <c r="F451" t="s">
        <v>323</v>
      </c>
      <c r="G451" t="s">
        <v>30</v>
      </c>
      <c r="H451" t="s">
        <v>31</v>
      </c>
      <c r="I451" t="str">
        <f t="shared" si="28"/>
        <v>UFDB</v>
      </c>
      <c r="J451" t="s">
        <v>893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T451" t="s">
        <v>43</v>
      </c>
      <c r="U451" t="str">
        <f t="shared" si="24"/>
        <v/>
      </c>
      <c r="V451" t="str">
        <f t="shared" si="25"/>
        <v>Ja</v>
      </c>
    </row>
    <row r="452" spans="1:22" x14ac:dyDescent="0.2">
      <c r="A452" t="s">
        <v>897</v>
      </c>
      <c r="B452" t="s">
        <v>357</v>
      </c>
      <c r="C452" t="s">
        <v>363</v>
      </c>
      <c r="D452" t="s">
        <v>364</v>
      </c>
      <c r="F452" t="s">
        <v>323</v>
      </c>
      <c r="G452" t="s">
        <v>30</v>
      </c>
      <c r="H452" t="s">
        <v>31</v>
      </c>
      <c r="I452" t="str">
        <f t="shared" si="28"/>
        <v>UFDB</v>
      </c>
      <c r="J452" t="s">
        <v>895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T452" t="s">
        <v>43</v>
      </c>
      <c r="U452" t="str">
        <f t="shared" si="24"/>
        <v/>
      </c>
      <c r="V452" t="str">
        <f t="shared" si="25"/>
        <v>Ja</v>
      </c>
    </row>
    <row r="453" spans="1:22" x14ac:dyDescent="0.2">
      <c r="A453" t="s">
        <v>898</v>
      </c>
      <c r="B453" t="s">
        <v>364</v>
      </c>
      <c r="C453" t="s">
        <v>366</v>
      </c>
      <c r="D453" t="s">
        <v>367</v>
      </c>
      <c r="E453" t="s">
        <v>450</v>
      </c>
      <c r="F453" t="s">
        <v>323</v>
      </c>
      <c r="G453" t="s">
        <v>30</v>
      </c>
      <c r="H453" t="s">
        <v>31</v>
      </c>
      <c r="I453" t="str">
        <f t="shared" si="28"/>
        <v>UFDB</v>
      </c>
      <c r="J453" t="s">
        <v>899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T453" t="s">
        <v>43</v>
      </c>
      <c r="U453" t="str">
        <f t="shared" si="24"/>
        <v/>
      </c>
      <c r="V453" t="str">
        <f t="shared" si="25"/>
        <v>Ja</v>
      </c>
    </row>
    <row r="454" spans="1:22" x14ac:dyDescent="0.2">
      <c r="A454" t="s">
        <v>900</v>
      </c>
      <c r="B454" t="s">
        <v>364</v>
      </c>
      <c r="C454" t="s">
        <v>370</v>
      </c>
      <c r="D454" t="s">
        <v>225</v>
      </c>
      <c r="F454" t="s">
        <v>323</v>
      </c>
      <c r="G454" t="s">
        <v>30</v>
      </c>
      <c r="H454" t="s">
        <v>31</v>
      </c>
      <c r="I454" t="str">
        <f t="shared" si="28"/>
        <v>UFDB</v>
      </c>
      <c r="J454" t="s">
        <v>901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T454" t="s">
        <v>43</v>
      </c>
      <c r="U454" t="str">
        <f t="shared" si="24"/>
        <v/>
      </c>
      <c r="V454" t="str">
        <f t="shared" si="25"/>
        <v>Ja</v>
      </c>
    </row>
    <row r="455" spans="1:22" x14ac:dyDescent="0.2">
      <c r="A455" t="s">
        <v>902</v>
      </c>
      <c r="B455" t="s">
        <v>225</v>
      </c>
      <c r="C455" t="s">
        <v>228</v>
      </c>
      <c r="D455" t="s">
        <v>229</v>
      </c>
      <c r="E455" t="s">
        <v>372</v>
      </c>
      <c r="F455" t="s">
        <v>323</v>
      </c>
      <c r="G455" t="s">
        <v>30</v>
      </c>
      <c r="H455" t="s">
        <v>31</v>
      </c>
      <c r="I455" t="str">
        <f t="shared" si="28"/>
        <v>UFDB</v>
      </c>
      <c r="J455" t="s">
        <v>903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T455" t="s">
        <v>43</v>
      </c>
      <c r="U455" t="str">
        <f t="shared" si="24"/>
        <v/>
      </c>
      <c r="V455" t="str">
        <f t="shared" si="25"/>
        <v>Ja</v>
      </c>
    </row>
    <row r="456" spans="1:22" x14ac:dyDescent="0.2">
      <c r="A456" t="s">
        <v>904</v>
      </c>
      <c r="B456" t="s">
        <v>225</v>
      </c>
      <c r="C456" t="s">
        <v>233</v>
      </c>
      <c r="D456" t="s">
        <v>234</v>
      </c>
      <c r="E456" t="s">
        <v>905</v>
      </c>
      <c r="F456" t="s">
        <v>323</v>
      </c>
      <c r="G456" t="s">
        <v>30</v>
      </c>
      <c r="H456" t="s">
        <v>31</v>
      </c>
      <c r="I456" t="str">
        <f t="shared" si="28"/>
        <v>UFDB</v>
      </c>
      <c r="J456" t="s">
        <v>906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43</v>
      </c>
      <c r="T456" t="s">
        <v>43</v>
      </c>
      <c r="U456" t="str">
        <f t="shared" si="24"/>
        <v/>
      </c>
      <c r="V456" t="str">
        <f t="shared" si="25"/>
        <v>Ja</v>
      </c>
    </row>
    <row r="457" spans="1:22" x14ac:dyDescent="0.2">
      <c r="A457" t="s">
        <v>907</v>
      </c>
      <c r="B457" t="s">
        <v>364</v>
      </c>
      <c r="C457" t="s">
        <v>370</v>
      </c>
      <c r="D457" t="s">
        <v>225</v>
      </c>
      <c r="E457" s="15"/>
      <c r="F457" t="s">
        <v>323</v>
      </c>
      <c r="G457" t="s">
        <v>30</v>
      </c>
      <c r="H457" t="s">
        <v>31</v>
      </c>
      <c r="I457" t="s">
        <v>111</v>
      </c>
      <c r="J457" t="s">
        <v>867</v>
      </c>
      <c r="K457" t="s">
        <v>33</v>
      </c>
      <c r="L457" t="s">
        <v>43</v>
      </c>
      <c r="M457" t="s">
        <v>33</v>
      </c>
      <c r="N457" t="s">
        <v>43</v>
      </c>
      <c r="O457" t="s">
        <v>33</v>
      </c>
      <c r="P457" t="s">
        <v>43</v>
      </c>
      <c r="Q457" t="s">
        <v>33</v>
      </c>
      <c r="R457" t="s">
        <v>43</v>
      </c>
      <c r="T457" t="s">
        <v>43</v>
      </c>
      <c r="U457" t="str">
        <f t="shared" si="24"/>
        <v/>
      </c>
      <c r="V457" t="str">
        <f t="shared" si="25"/>
        <v/>
      </c>
    </row>
    <row r="458" spans="1:22" x14ac:dyDescent="0.2">
      <c r="A458" t="s">
        <v>908</v>
      </c>
      <c r="B458" t="s">
        <v>225</v>
      </c>
      <c r="C458" t="s">
        <v>228</v>
      </c>
      <c r="D458" t="s">
        <v>229</v>
      </c>
      <c r="E458" s="15" t="s">
        <v>436</v>
      </c>
      <c r="F458" t="s">
        <v>323</v>
      </c>
      <c r="G458" t="s">
        <v>139</v>
      </c>
      <c r="H458" t="s">
        <v>784</v>
      </c>
      <c r="I458" t="s">
        <v>111</v>
      </c>
      <c r="J458" t="s">
        <v>909</v>
      </c>
      <c r="K458" t="s">
        <v>33</v>
      </c>
      <c r="L458" t="s">
        <v>43</v>
      </c>
      <c r="M458" t="s">
        <v>33</v>
      </c>
      <c r="N458" t="s">
        <v>43</v>
      </c>
      <c r="O458" t="s">
        <v>33</v>
      </c>
      <c r="P458" t="s">
        <v>43</v>
      </c>
      <c r="Q458" t="s">
        <v>33</v>
      </c>
      <c r="R458" t="s">
        <v>43</v>
      </c>
      <c r="T458" t="s">
        <v>43</v>
      </c>
      <c r="U458" t="str">
        <f t="shared" si="24"/>
        <v/>
      </c>
      <c r="V458" t="str">
        <f t="shared" si="25"/>
        <v/>
      </c>
    </row>
    <row r="459" spans="1:22" x14ac:dyDescent="0.2">
      <c r="A459" t="s">
        <v>910</v>
      </c>
      <c r="B459" t="s">
        <v>225</v>
      </c>
      <c r="C459" t="s">
        <v>233</v>
      </c>
      <c r="D459" t="s">
        <v>234</v>
      </c>
      <c r="E459" s="15" t="s">
        <v>380</v>
      </c>
      <c r="F459" t="s">
        <v>323</v>
      </c>
      <c r="G459" t="s">
        <v>30</v>
      </c>
      <c r="H459" t="s">
        <v>31</v>
      </c>
      <c r="I459" t="s">
        <v>111</v>
      </c>
      <c r="J459" t="s">
        <v>911</v>
      </c>
      <c r="K459" t="s">
        <v>33</v>
      </c>
      <c r="L459" t="s">
        <v>43</v>
      </c>
      <c r="M459" t="s">
        <v>33</v>
      </c>
      <c r="N459" t="s">
        <v>43</v>
      </c>
      <c r="O459" t="s">
        <v>33</v>
      </c>
      <c r="P459" t="s">
        <v>43</v>
      </c>
      <c r="Q459" t="s">
        <v>33</v>
      </c>
      <c r="R459" t="s">
        <v>43</v>
      </c>
      <c r="T459" t="s">
        <v>43</v>
      </c>
      <c r="U459" t="str">
        <f t="shared" si="24"/>
        <v/>
      </c>
      <c r="V459" t="str">
        <f t="shared" si="25"/>
        <v/>
      </c>
    </row>
    <row r="460" spans="1:22" x14ac:dyDescent="0.2">
      <c r="A460" t="s">
        <v>912</v>
      </c>
      <c r="B460" t="s">
        <v>364</v>
      </c>
      <c r="C460" t="s">
        <v>382</v>
      </c>
      <c r="D460" t="s">
        <v>143</v>
      </c>
      <c r="E460" t="s">
        <v>383</v>
      </c>
      <c r="F460" t="s">
        <v>38</v>
      </c>
      <c r="G460" t="s">
        <v>913</v>
      </c>
      <c r="H460" t="s">
        <v>31</v>
      </c>
      <c r="I460" t="str">
        <f t="shared" ref="I460:I470" si="29">IF(J460&lt;&gt;"","UFDB","")</f>
        <v>UFDB</v>
      </c>
      <c r="J460" t="s">
        <v>914</v>
      </c>
      <c r="K460" t="s">
        <v>33</v>
      </c>
      <c r="L460" t="s">
        <v>43</v>
      </c>
      <c r="M460" t="s">
        <v>33</v>
      </c>
      <c r="N460" t="s">
        <v>43</v>
      </c>
      <c r="O460" t="s">
        <v>33</v>
      </c>
      <c r="P460" t="s">
        <v>43</v>
      </c>
      <c r="Q460" t="s">
        <v>33</v>
      </c>
      <c r="R460" t="s">
        <v>43</v>
      </c>
      <c r="T460" t="s">
        <v>43</v>
      </c>
      <c r="U460" t="str">
        <f t="shared" si="24"/>
        <v/>
      </c>
      <c r="V460" t="str">
        <f t="shared" si="25"/>
        <v/>
      </c>
    </row>
    <row r="461" spans="1:22" x14ac:dyDescent="0.2">
      <c r="A461" t="s">
        <v>915</v>
      </c>
      <c r="B461" t="s">
        <v>357</v>
      </c>
      <c r="C461" t="s">
        <v>385</v>
      </c>
      <c r="D461" t="s">
        <v>367</v>
      </c>
      <c r="E461" t="s">
        <v>386</v>
      </c>
      <c r="F461" t="s">
        <v>38</v>
      </c>
      <c r="G461" t="s">
        <v>913</v>
      </c>
      <c r="H461" t="s">
        <v>31</v>
      </c>
      <c r="I461" t="str">
        <f t="shared" si="29"/>
        <v>UFDB</v>
      </c>
      <c r="J461" t="s">
        <v>916</v>
      </c>
      <c r="K461" t="s">
        <v>33</v>
      </c>
      <c r="L461" t="s">
        <v>43</v>
      </c>
      <c r="M461" t="s">
        <v>33</v>
      </c>
      <c r="N461" t="s">
        <v>43</v>
      </c>
      <c r="O461" t="s">
        <v>33</v>
      </c>
      <c r="P461" t="s">
        <v>43</v>
      </c>
      <c r="Q461" t="s">
        <v>33</v>
      </c>
      <c r="R461" t="s">
        <v>43</v>
      </c>
      <c r="T461" t="s">
        <v>43</v>
      </c>
      <c r="U461" t="str">
        <f t="shared" si="24"/>
        <v/>
      </c>
      <c r="V461" t="str">
        <f t="shared" si="25"/>
        <v/>
      </c>
    </row>
    <row r="462" spans="1:22" x14ac:dyDescent="0.2">
      <c r="A462" t="s">
        <v>917</v>
      </c>
      <c r="B462" t="s">
        <v>357</v>
      </c>
      <c r="C462" t="s">
        <v>388</v>
      </c>
      <c r="D462" t="s">
        <v>367</v>
      </c>
      <c r="E462" t="s">
        <v>389</v>
      </c>
      <c r="F462" t="s">
        <v>38</v>
      </c>
      <c r="G462" t="s">
        <v>913</v>
      </c>
      <c r="H462" t="s">
        <v>31</v>
      </c>
      <c r="I462" t="str">
        <f t="shared" si="29"/>
        <v>UFDB</v>
      </c>
      <c r="J462" t="s">
        <v>918</v>
      </c>
      <c r="K462" t="s">
        <v>33</v>
      </c>
      <c r="L462" t="s">
        <v>43</v>
      </c>
      <c r="M462" t="s">
        <v>33</v>
      </c>
      <c r="N462" t="s">
        <v>43</v>
      </c>
      <c r="O462" t="s">
        <v>33</v>
      </c>
      <c r="P462" t="s">
        <v>43</v>
      </c>
      <c r="Q462" t="s">
        <v>33</v>
      </c>
      <c r="R462" t="s">
        <v>43</v>
      </c>
      <c r="T462" t="s">
        <v>43</v>
      </c>
      <c r="U462" t="str">
        <f t="shared" si="24"/>
        <v/>
      </c>
      <c r="V462" t="str">
        <f t="shared" si="25"/>
        <v/>
      </c>
    </row>
    <row r="463" spans="1:22" x14ac:dyDescent="0.2">
      <c r="A463" t="s">
        <v>919</v>
      </c>
      <c r="B463" t="s">
        <v>357</v>
      </c>
      <c r="C463" t="s">
        <v>392</v>
      </c>
      <c r="D463" t="s">
        <v>367</v>
      </c>
      <c r="E463" t="s">
        <v>393</v>
      </c>
      <c r="F463" t="s">
        <v>38</v>
      </c>
      <c r="G463" t="s">
        <v>913</v>
      </c>
      <c r="H463" t="s">
        <v>31</v>
      </c>
      <c r="I463" t="str">
        <f t="shared" si="29"/>
        <v>UFDB</v>
      </c>
      <c r="J463" t="s">
        <v>920</v>
      </c>
      <c r="K463" t="s">
        <v>33</v>
      </c>
      <c r="L463" t="s">
        <v>43</v>
      </c>
      <c r="M463" t="s">
        <v>33</v>
      </c>
      <c r="N463" t="s">
        <v>43</v>
      </c>
      <c r="O463" t="s">
        <v>33</v>
      </c>
      <c r="P463" t="s">
        <v>43</v>
      </c>
      <c r="Q463" t="s">
        <v>33</v>
      </c>
      <c r="R463" t="s">
        <v>43</v>
      </c>
      <c r="T463" t="s">
        <v>43</v>
      </c>
      <c r="U463" t="str">
        <f t="shared" si="24"/>
        <v/>
      </c>
      <c r="V463" t="str">
        <f t="shared" si="25"/>
        <v/>
      </c>
    </row>
    <row r="464" spans="1:22" x14ac:dyDescent="0.2">
      <c r="A464" t="s">
        <v>921</v>
      </c>
      <c r="B464" t="s">
        <v>357</v>
      </c>
      <c r="C464" t="s">
        <v>396</v>
      </c>
      <c r="D464" t="s">
        <v>36</v>
      </c>
      <c r="E464" s="15" t="s">
        <v>443</v>
      </c>
      <c r="F464" t="s">
        <v>29</v>
      </c>
      <c r="G464" t="s">
        <v>30</v>
      </c>
      <c r="H464" t="s">
        <v>31</v>
      </c>
      <c r="I464" t="str">
        <f t="shared" si="29"/>
        <v>UFDB</v>
      </c>
      <c r="J464" t="s">
        <v>922</v>
      </c>
      <c r="K464" t="s">
        <v>33</v>
      </c>
      <c r="L464" t="s">
        <v>43</v>
      </c>
      <c r="M464" t="s">
        <v>33</v>
      </c>
      <c r="N464" t="s">
        <v>43</v>
      </c>
      <c r="O464" t="s">
        <v>33</v>
      </c>
      <c r="P464" t="s">
        <v>43</v>
      </c>
      <c r="Q464" t="s">
        <v>33</v>
      </c>
      <c r="R464" t="s">
        <v>43</v>
      </c>
      <c r="T464" t="s">
        <v>43</v>
      </c>
      <c r="U464" t="str">
        <f t="shared" ref="U464:U528" si="30">IF(AND(COUNTIF($K464:$R464,"Ja")&gt;0,OR($I464="",AND($I464="UFDB",$J464=""))),"Ja","")</f>
        <v/>
      </c>
      <c r="V464" t="str">
        <f t="shared" ref="V464:V528" si="31">IF(AND(COUNTIF($K464:$R464,"Ja")=0,$I464&lt;&gt;""),"Ja","")</f>
        <v/>
      </c>
    </row>
    <row r="465" spans="1:22" x14ac:dyDescent="0.2">
      <c r="A465" t="s">
        <v>923</v>
      </c>
      <c r="B465" t="s">
        <v>357</v>
      </c>
      <c r="C465" t="s">
        <v>399</v>
      </c>
      <c r="D465" t="s">
        <v>143</v>
      </c>
      <c r="E465" s="15" t="s">
        <v>400</v>
      </c>
      <c r="F465" t="s">
        <v>323</v>
      </c>
      <c r="G465" t="s">
        <v>30</v>
      </c>
      <c r="H465" t="s">
        <v>31</v>
      </c>
      <c r="I465" t="str">
        <f t="shared" si="29"/>
        <v>UFDB</v>
      </c>
      <c r="J465" t="s">
        <v>924</v>
      </c>
      <c r="K465" t="s">
        <v>33</v>
      </c>
      <c r="L465" t="s">
        <v>43</v>
      </c>
      <c r="M465" t="s">
        <v>33</v>
      </c>
      <c r="N465" t="s">
        <v>43</v>
      </c>
      <c r="O465" t="s">
        <v>33</v>
      </c>
      <c r="P465" t="s">
        <v>43</v>
      </c>
      <c r="Q465" t="s">
        <v>33</v>
      </c>
      <c r="R465" t="s">
        <v>43</v>
      </c>
      <c r="T465" t="s">
        <v>43</v>
      </c>
      <c r="U465" t="str">
        <f t="shared" si="30"/>
        <v/>
      </c>
      <c r="V465" t="str">
        <f t="shared" si="31"/>
        <v/>
      </c>
    </row>
    <row r="466" spans="1:22" x14ac:dyDescent="0.2">
      <c r="A466" t="s">
        <v>925</v>
      </c>
      <c r="B466" t="s">
        <v>354</v>
      </c>
      <c r="C466" t="s">
        <v>446</v>
      </c>
      <c r="D466" t="s">
        <v>357</v>
      </c>
      <c r="E466" s="15"/>
      <c r="F466" t="s">
        <v>38</v>
      </c>
      <c r="G466" t="s">
        <v>30</v>
      </c>
      <c r="H466" t="s">
        <v>31</v>
      </c>
      <c r="I466" t="str">
        <f t="shared" si="29"/>
        <v>UFDB</v>
      </c>
      <c r="J466" t="s">
        <v>926</v>
      </c>
      <c r="K466" t="s">
        <v>33</v>
      </c>
      <c r="L466" t="s">
        <v>43</v>
      </c>
      <c r="M466" t="s">
        <v>33</v>
      </c>
      <c r="N466" t="s">
        <v>43</v>
      </c>
      <c r="O466" t="s">
        <v>33</v>
      </c>
      <c r="P466" t="s">
        <v>43</v>
      </c>
      <c r="Q466" t="s">
        <v>33</v>
      </c>
      <c r="R466" t="s">
        <v>43</v>
      </c>
      <c r="T466" t="s">
        <v>43</v>
      </c>
      <c r="U466" t="str">
        <f t="shared" si="30"/>
        <v/>
      </c>
      <c r="V466" t="str">
        <f t="shared" si="31"/>
        <v/>
      </c>
    </row>
    <row r="467" spans="1:22" x14ac:dyDescent="0.2">
      <c r="A467" t="s">
        <v>927</v>
      </c>
      <c r="B467" t="s">
        <v>357</v>
      </c>
      <c r="C467" t="s">
        <v>26</v>
      </c>
      <c r="D467" t="s">
        <v>27</v>
      </c>
      <c r="E467" s="15" t="s">
        <v>360</v>
      </c>
      <c r="F467" t="s">
        <v>38</v>
      </c>
      <c r="G467" t="s">
        <v>30</v>
      </c>
      <c r="H467" t="s">
        <v>31</v>
      </c>
      <c r="I467" t="str">
        <f t="shared" si="29"/>
        <v>UFDB</v>
      </c>
      <c r="J467" t="s">
        <v>928</v>
      </c>
      <c r="K467" t="s">
        <v>33</v>
      </c>
      <c r="L467" t="s">
        <v>43</v>
      </c>
      <c r="M467" t="s">
        <v>33</v>
      </c>
      <c r="N467" t="s">
        <v>43</v>
      </c>
      <c r="O467" t="s">
        <v>33</v>
      </c>
      <c r="P467" t="s">
        <v>43</v>
      </c>
      <c r="Q467" t="s">
        <v>33</v>
      </c>
      <c r="R467" t="s">
        <v>43</v>
      </c>
      <c r="T467" t="s">
        <v>43</v>
      </c>
      <c r="U467" t="str">
        <f t="shared" si="30"/>
        <v/>
      </c>
      <c r="V467" t="str">
        <f t="shared" si="31"/>
        <v/>
      </c>
    </row>
    <row r="468" spans="1:22" x14ac:dyDescent="0.2">
      <c r="A468" t="s">
        <v>929</v>
      </c>
      <c r="B468" t="s">
        <v>357</v>
      </c>
      <c r="C468" t="s">
        <v>363</v>
      </c>
      <c r="D468" t="s">
        <v>364</v>
      </c>
      <c r="E468" s="15"/>
      <c r="F468" t="s">
        <v>323</v>
      </c>
      <c r="G468" t="s">
        <v>30</v>
      </c>
      <c r="H468" t="s">
        <v>31</v>
      </c>
      <c r="I468" t="str">
        <f t="shared" si="29"/>
        <v>UFDB</v>
      </c>
      <c r="J468" t="s">
        <v>930</v>
      </c>
      <c r="K468" t="s">
        <v>33</v>
      </c>
      <c r="L468" t="s">
        <v>43</v>
      </c>
      <c r="M468" t="s">
        <v>33</v>
      </c>
      <c r="N468" t="s">
        <v>43</v>
      </c>
      <c r="O468" t="s">
        <v>33</v>
      </c>
      <c r="P468" t="s">
        <v>43</v>
      </c>
      <c r="Q468" t="s">
        <v>33</v>
      </c>
      <c r="R468" t="s">
        <v>43</v>
      </c>
      <c r="T468" t="s">
        <v>43</v>
      </c>
      <c r="U468" t="str">
        <f t="shared" si="30"/>
        <v/>
      </c>
      <c r="V468" t="str">
        <f t="shared" si="31"/>
        <v/>
      </c>
    </row>
    <row r="469" spans="1:22" x14ac:dyDescent="0.2">
      <c r="A469" t="s">
        <v>931</v>
      </c>
      <c r="B469" t="s">
        <v>364</v>
      </c>
      <c r="C469" t="s">
        <v>366</v>
      </c>
      <c r="D469" t="s">
        <v>367</v>
      </c>
      <c r="E469" s="15" t="s">
        <v>450</v>
      </c>
      <c r="F469" t="s">
        <v>323</v>
      </c>
      <c r="G469" t="s">
        <v>30</v>
      </c>
      <c r="H469" t="s">
        <v>31</v>
      </c>
      <c r="I469" t="str">
        <f t="shared" si="29"/>
        <v>UFDB</v>
      </c>
      <c r="J469" t="s">
        <v>932</v>
      </c>
      <c r="K469" t="s">
        <v>33</v>
      </c>
      <c r="L469" t="s">
        <v>43</v>
      </c>
      <c r="M469" t="s">
        <v>33</v>
      </c>
      <c r="N469" t="s">
        <v>43</v>
      </c>
      <c r="O469" t="s">
        <v>33</v>
      </c>
      <c r="P469" t="s">
        <v>43</v>
      </c>
      <c r="Q469" t="s">
        <v>33</v>
      </c>
      <c r="R469" t="s">
        <v>43</v>
      </c>
      <c r="T469" t="s">
        <v>43</v>
      </c>
      <c r="U469" t="str">
        <f t="shared" si="30"/>
        <v/>
      </c>
      <c r="V469" t="str">
        <f t="shared" si="31"/>
        <v/>
      </c>
    </row>
    <row r="470" spans="1:22" x14ac:dyDescent="0.2">
      <c r="A470" t="s">
        <v>933</v>
      </c>
      <c r="B470" t="s">
        <v>364</v>
      </c>
      <c r="C470" t="s">
        <v>370</v>
      </c>
      <c r="D470" t="s">
        <v>225</v>
      </c>
      <c r="E470" s="15"/>
      <c r="F470" t="s">
        <v>38</v>
      </c>
      <c r="G470" t="s">
        <v>139</v>
      </c>
      <c r="H470" t="s">
        <v>31</v>
      </c>
      <c r="I470" t="str">
        <f t="shared" si="29"/>
        <v>UFDB</v>
      </c>
      <c r="J470" t="s">
        <v>934</v>
      </c>
      <c r="K470" t="s">
        <v>33</v>
      </c>
      <c r="L470" t="s">
        <v>43</v>
      </c>
      <c r="M470" t="s">
        <v>33</v>
      </c>
      <c r="N470" t="s">
        <v>43</v>
      </c>
      <c r="O470" t="s">
        <v>33</v>
      </c>
      <c r="P470" t="s">
        <v>43</v>
      </c>
      <c r="Q470" t="s">
        <v>33</v>
      </c>
      <c r="R470" t="s">
        <v>43</v>
      </c>
      <c r="T470" t="s">
        <v>43</v>
      </c>
      <c r="U470" t="str">
        <f t="shared" si="30"/>
        <v/>
      </c>
      <c r="V470" t="str">
        <f t="shared" si="31"/>
        <v/>
      </c>
    </row>
    <row r="471" spans="1:22" x14ac:dyDescent="0.2">
      <c r="A471" t="s">
        <v>935</v>
      </c>
      <c r="B471" t="s">
        <v>225</v>
      </c>
      <c r="C471" t="s">
        <v>228</v>
      </c>
      <c r="D471" t="s">
        <v>229</v>
      </c>
      <c r="E471" s="15" t="s">
        <v>372</v>
      </c>
      <c r="F471" t="s">
        <v>323</v>
      </c>
      <c r="G471" t="s">
        <v>30</v>
      </c>
      <c r="H471" t="s">
        <v>31</v>
      </c>
      <c r="I471" t="s">
        <v>111</v>
      </c>
      <c r="J471" t="s">
        <v>936</v>
      </c>
      <c r="K471" t="s">
        <v>33</v>
      </c>
      <c r="L471" t="s">
        <v>43</v>
      </c>
      <c r="M471" t="s">
        <v>33</v>
      </c>
      <c r="N471" t="s">
        <v>43</v>
      </c>
      <c r="O471" t="s">
        <v>33</v>
      </c>
      <c r="P471" t="s">
        <v>43</v>
      </c>
      <c r="Q471" t="s">
        <v>33</v>
      </c>
      <c r="R471" t="s">
        <v>43</v>
      </c>
      <c r="T471" t="s">
        <v>43</v>
      </c>
      <c r="U471" t="str">
        <f t="shared" si="30"/>
        <v/>
      </c>
      <c r="V471" t="str">
        <f t="shared" si="31"/>
        <v/>
      </c>
    </row>
    <row r="472" spans="1:22" x14ac:dyDescent="0.2">
      <c r="A472" t="s">
        <v>937</v>
      </c>
      <c r="B472" t="s">
        <v>225</v>
      </c>
      <c r="C472" t="s">
        <v>233</v>
      </c>
      <c r="D472" t="s">
        <v>234</v>
      </c>
      <c r="E472" s="15" t="s">
        <v>374</v>
      </c>
      <c r="F472" t="s">
        <v>29</v>
      </c>
      <c r="G472" t="s">
        <v>30</v>
      </c>
      <c r="H472" t="s">
        <v>31</v>
      </c>
      <c r="I472" t="str">
        <f t="shared" ref="I472:I478" si="32">IF(J472&lt;&gt;"","UFDB","")</f>
        <v>UFDB</v>
      </c>
      <c r="J472" t="s">
        <v>938</v>
      </c>
      <c r="K472" t="s">
        <v>33</v>
      </c>
      <c r="L472" t="s">
        <v>43</v>
      </c>
      <c r="M472" t="s">
        <v>33</v>
      </c>
      <c r="N472" t="s">
        <v>43</v>
      </c>
      <c r="O472" t="s">
        <v>33</v>
      </c>
      <c r="P472" t="s">
        <v>43</v>
      </c>
      <c r="Q472" t="s">
        <v>33</v>
      </c>
      <c r="R472" t="s">
        <v>43</v>
      </c>
      <c r="T472" t="s">
        <v>43</v>
      </c>
      <c r="U472" t="str">
        <f t="shared" si="30"/>
        <v/>
      </c>
      <c r="V472" t="str">
        <f t="shared" si="31"/>
        <v/>
      </c>
    </row>
    <row r="473" spans="1:22" x14ac:dyDescent="0.2">
      <c r="A473" t="s">
        <v>939</v>
      </c>
      <c r="B473" t="s">
        <v>364</v>
      </c>
      <c r="C473" t="s">
        <v>370</v>
      </c>
      <c r="D473" t="s">
        <v>225</v>
      </c>
      <c r="E473" s="15"/>
      <c r="F473" t="s">
        <v>323</v>
      </c>
      <c r="G473" t="s">
        <v>30</v>
      </c>
      <c r="H473" t="s">
        <v>31</v>
      </c>
      <c r="I473" t="str">
        <f t="shared" si="32"/>
        <v>UFDB</v>
      </c>
      <c r="J473" t="s">
        <v>940</v>
      </c>
      <c r="K473" t="s">
        <v>33</v>
      </c>
      <c r="L473" t="s">
        <v>43</v>
      </c>
      <c r="M473" t="s">
        <v>33</v>
      </c>
      <c r="N473" t="s">
        <v>43</v>
      </c>
      <c r="O473" t="s">
        <v>33</v>
      </c>
      <c r="P473" t="s">
        <v>43</v>
      </c>
      <c r="Q473" t="s">
        <v>33</v>
      </c>
      <c r="R473" t="s">
        <v>43</v>
      </c>
      <c r="T473" t="s">
        <v>43</v>
      </c>
      <c r="U473" t="str">
        <f t="shared" si="30"/>
        <v/>
      </c>
      <c r="V473" t="str">
        <f t="shared" si="31"/>
        <v/>
      </c>
    </row>
    <row r="474" spans="1:22" x14ac:dyDescent="0.2">
      <c r="A474" t="s">
        <v>941</v>
      </c>
      <c r="B474" t="s">
        <v>225</v>
      </c>
      <c r="C474" t="s">
        <v>228</v>
      </c>
      <c r="D474" t="s">
        <v>229</v>
      </c>
      <c r="E474" s="15" t="s">
        <v>456</v>
      </c>
      <c r="F474" t="s">
        <v>38</v>
      </c>
      <c r="G474" t="s">
        <v>30</v>
      </c>
      <c r="H474" t="s">
        <v>31</v>
      </c>
      <c r="I474" t="str">
        <f t="shared" si="32"/>
        <v>UFDB</v>
      </c>
      <c r="J474" t="s">
        <v>942</v>
      </c>
      <c r="K474" t="s">
        <v>33</v>
      </c>
      <c r="L474" t="s">
        <v>43</v>
      </c>
      <c r="M474" t="s">
        <v>33</v>
      </c>
      <c r="N474" t="s">
        <v>43</v>
      </c>
      <c r="O474" t="s">
        <v>33</v>
      </c>
      <c r="P474" t="s">
        <v>43</v>
      </c>
      <c r="Q474" t="s">
        <v>33</v>
      </c>
      <c r="R474" t="s">
        <v>43</v>
      </c>
      <c r="T474" t="s">
        <v>43</v>
      </c>
      <c r="U474" t="str">
        <f t="shared" si="30"/>
        <v/>
      </c>
      <c r="V474" t="str">
        <f t="shared" si="31"/>
        <v/>
      </c>
    </row>
    <row r="475" spans="1:22" x14ac:dyDescent="0.2">
      <c r="A475" t="s">
        <v>943</v>
      </c>
      <c r="B475" t="s">
        <v>225</v>
      </c>
      <c r="C475" t="s">
        <v>233</v>
      </c>
      <c r="D475" t="s">
        <v>234</v>
      </c>
      <c r="E475" s="15" t="s">
        <v>380</v>
      </c>
      <c r="F475" t="s">
        <v>38</v>
      </c>
      <c r="G475" t="s">
        <v>30</v>
      </c>
      <c r="H475" t="s">
        <v>31</v>
      </c>
      <c r="I475" t="str">
        <f t="shared" si="32"/>
        <v>UFDB</v>
      </c>
      <c r="J475" t="s">
        <v>944</v>
      </c>
      <c r="K475" t="s">
        <v>33</v>
      </c>
      <c r="L475" t="s">
        <v>43</v>
      </c>
      <c r="M475" t="s">
        <v>33</v>
      </c>
      <c r="N475" t="s">
        <v>43</v>
      </c>
      <c r="O475" t="s">
        <v>33</v>
      </c>
      <c r="P475" t="s">
        <v>43</v>
      </c>
      <c r="Q475" t="s">
        <v>33</v>
      </c>
      <c r="R475" t="s">
        <v>43</v>
      </c>
      <c r="T475" t="s">
        <v>43</v>
      </c>
      <c r="U475" t="str">
        <f t="shared" si="30"/>
        <v/>
      </c>
      <c r="V475" t="str">
        <f t="shared" si="31"/>
        <v/>
      </c>
    </row>
    <row r="476" spans="1:22" x14ac:dyDescent="0.2">
      <c r="A476" t="s">
        <v>945</v>
      </c>
      <c r="B476" t="s">
        <v>364</v>
      </c>
      <c r="C476" t="s">
        <v>382</v>
      </c>
      <c r="D476" t="s">
        <v>143</v>
      </c>
      <c r="E476" s="15" t="s">
        <v>383</v>
      </c>
      <c r="F476" t="s">
        <v>323</v>
      </c>
      <c r="G476" t="s">
        <v>30</v>
      </c>
      <c r="H476" t="s">
        <v>31</v>
      </c>
      <c r="I476" t="str">
        <f t="shared" si="32"/>
        <v>UFDB</v>
      </c>
      <c r="J476" t="s">
        <v>946</v>
      </c>
      <c r="K476" t="s">
        <v>33</v>
      </c>
      <c r="L476" t="s">
        <v>43</v>
      </c>
      <c r="M476" t="s">
        <v>33</v>
      </c>
      <c r="N476" t="s">
        <v>43</v>
      </c>
      <c r="O476" t="s">
        <v>33</v>
      </c>
      <c r="P476" t="s">
        <v>43</v>
      </c>
      <c r="Q476" t="s">
        <v>33</v>
      </c>
      <c r="R476" t="s">
        <v>43</v>
      </c>
      <c r="T476" t="s">
        <v>43</v>
      </c>
      <c r="U476" t="str">
        <f t="shared" si="30"/>
        <v/>
      </c>
      <c r="V476" t="str">
        <f t="shared" si="31"/>
        <v/>
      </c>
    </row>
    <row r="477" spans="1:22" x14ac:dyDescent="0.2">
      <c r="A477" t="s">
        <v>947</v>
      </c>
      <c r="B477" t="s">
        <v>357</v>
      </c>
      <c r="C477" t="s">
        <v>385</v>
      </c>
      <c r="D477" t="s">
        <v>367</v>
      </c>
      <c r="E477" s="15" t="s">
        <v>386</v>
      </c>
      <c r="F477" t="s">
        <v>323</v>
      </c>
      <c r="G477" t="s">
        <v>30</v>
      </c>
      <c r="H477" t="s">
        <v>31</v>
      </c>
      <c r="I477" t="str">
        <f t="shared" si="32"/>
        <v>UFDB</v>
      </c>
      <c r="J477" t="s">
        <v>948</v>
      </c>
      <c r="K477" t="s">
        <v>33</v>
      </c>
      <c r="L477" t="s">
        <v>43</v>
      </c>
      <c r="M477" t="s">
        <v>33</v>
      </c>
      <c r="N477" t="s">
        <v>43</v>
      </c>
      <c r="O477" t="s">
        <v>33</v>
      </c>
      <c r="P477" t="s">
        <v>43</v>
      </c>
      <c r="Q477" t="s">
        <v>33</v>
      </c>
      <c r="R477" t="s">
        <v>43</v>
      </c>
      <c r="T477" t="s">
        <v>43</v>
      </c>
      <c r="U477" t="str">
        <f t="shared" si="30"/>
        <v/>
      </c>
      <c r="V477" t="str">
        <f t="shared" si="31"/>
        <v/>
      </c>
    </row>
    <row r="478" spans="1:22" x14ac:dyDescent="0.2">
      <c r="A478" t="s">
        <v>949</v>
      </c>
      <c r="B478" t="s">
        <v>357</v>
      </c>
      <c r="C478" t="s">
        <v>388</v>
      </c>
      <c r="D478" t="s">
        <v>367</v>
      </c>
      <c r="E478" s="15" t="s">
        <v>389</v>
      </c>
      <c r="F478" t="s">
        <v>38</v>
      </c>
      <c r="G478" t="s">
        <v>139</v>
      </c>
      <c r="H478" t="s">
        <v>31</v>
      </c>
      <c r="I478" t="str">
        <f t="shared" si="32"/>
        <v>UFDB</v>
      </c>
      <c r="J478" t="s">
        <v>950</v>
      </c>
      <c r="K478" t="s">
        <v>33</v>
      </c>
      <c r="L478" t="s">
        <v>43</v>
      </c>
      <c r="M478" t="s">
        <v>33</v>
      </c>
      <c r="N478" t="s">
        <v>43</v>
      </c>
      <c r="O478" t="s">
        <v>33</v>
      </c>
      <c r="P478" t="s">
        <v>43</v>
      </c>
      <c r="Q478" t="s">
        <v>33</v>
      </c>
      <c r="R478" t="s">
        <v>43</v>
      </c>
      <c r="T478" t="s">
        <v>43</v>
      </c>
      <c r="U478" t="str">
        <f t="shared" si="30"/>
        <v/>
      </c>
      <c r="V478" t="str">
        <f t="shared" si="31"/>
        <v/>
      </c>
    </row>
    <row r="479" spans="1:22" x14ac:dyDescent="0.2">
      <c r="A479" t="s">
        <v>951</v>
      </c>
      <c r="B479" t="s">
        <v>357</v>
      </c>
      <c r="C479" t="s">
        <v>392</v>
      </c>
      <c r="D479" t="s">
        <v>367</v>
      </c>
      <c r="E479" s="15" t="s">
        <v>393</v>
      </c>
      <c r="F479" t="s">
        <v>323</v>
      </c>
      <c r="G479" t="s">
        <v>30</v>
      </c>
      <c r="H479" t="s">
        <v>31</v>
      </c>
      <c r="I479" t="s">
        <v>111</v>
      </c>
      <c r="J479" t="s">
        <v>952</v>
      </c>
      <c r="K479" t="s">
        <v>33</v>
      </c>
      <c r="L479" t="s">
        <v>43</v>
      </c>
      <c r="M479" t="s">
        <v>33</v>
      </c>
      <c r="N479" t="s">
        <v>43</v>
      </c>
      <c r="O479" t="s">
        <v>33</v>
      </c>
      <c r="P479" t="s">
        <v>43</v>
      </c>
      <c r="Q479" t="s">
        <v>33</v>
      </c>
      <c r="R479" t="s">
        <v>43</v>
      </c>
      <c r="T479" t="s">
        <v>43</v>
      </c>
      <c r="U479" t="str">
        <f t="shared" si="30"/>
        <v/>
      </c>
      <c r="V479" t="str">
        <f t="shared" si="31"/>
        <v/>
      </c>
    </row>
    <row r="480" spans="1:22" x14ac:dyDescent="0.2">
      <c r="A480" t="s">
        <v>953</v>
      </c>
      <c r="B480" t="s">
        <v>357</v>
      </c>
      <c r="C480" t="s">
        <v>396</v>
      </c>
      <c r="D480" t="s">
        <v>36</v>
      </c>
      <c r="E480" s="15" t="s">
        <v>397</v>
      </c>
      <c r="F480" t="s">
        <v>323</v>
      </c>
      <c r="G480" t="s">
        <v>139</v>
      </c>
      <c r="H480" t="s">
        <v>784</v>
      </c>
      <c r="I480" t="s">
        <v>111</v>
      </c>
      <c r="J480" t="s">
        <v>909</v>
      </c>
      <c r="K480" t="s">
        <v>33</v>
      </c>
      <c r="L480" t="s">
        <v>43</v>
      </c>
      <c r="M480" t="s">
        <v>33</v>
      </c>
      <c r="N480" t="s">
        <v>43</v>
      </c>
      <c r="O480" t="s">
        <v>33</v>
      </c>
      <c r="P480" t="s">
        <v>43</v>
      </c>
      <c r="Q480" t="s">
        <v>33</v>
      </c>
      <c r="R480" t="s">
        <v>43</v>
      </c>
      <c r="T480" t="s">
        <v>43</v>
      </c>
      <c r="U480" t="str">
        <f t="shared" si="30"/>
        <v/>
      </c>
      <c r="V480" t="str">
        <f t="shared" si="31"/>
        <v/>
      </c>
    </row>
    <row r="481" spans="1:22" x14ac:dyDescent="0.2">
      <c r="A481" t="s">
        <v>954</v>
      </c>
      <c r="B481" t="s">
        <v>357</v>
      </c>
      <c r="C481" t="s">
        <v>399</v>
      </c>
      <c r="D481" t="s">
        <v>143</v>
      </c>
      <c r="E481" s="15" t="s">
        <v>400</v>
      </c>
      <c r="F481" t="s">
        <v>323</v>
      </c>
      <c r="G481" t="s">
        <v>30</v>
      </c>
      <c r="H481" t="s">
        <v>31</v>
      </c>
      <c r="I481" t="s">
        <v>111</v>
      </c>
      <c r="J481" t="s">
        <v>911</v>
      </c>
      <c r="K481" t="s">
        <v>33</v>
      </c>
      <c r="L481" t="s">
        <v>43</v>
      </c>
      <c r="M481" t="s">
        <v>33</v>
      </c>
      <c r="N481" t="s">
        <v>43</v>
      </c>
      <c r="O481" t="s">
        <v>33</v>
      </c>
      <c r="P481" t="s">
        <v>43</v>
      </c>
      <c r="Q481" t="s">
        <v>33</v>
      </c>
      <c r="R481" t="s">
        <v>43</v>
      </c>
      <c r="T481" t="s">
        <v>43</v>
      </c>
      <c r="U481" t="str">
        <f t="shared" si="30"/>
        <v/>
      </c>
      <c r="V481" t="str">
        <f t="shared" si="31"/>
        <v/>
      </c>
    </row>
    <row r="482" spans="1:22" ht="16" x14ac:dyDescent="0.2">
      <c r="A482" t="s">
        <v>955</v>
      </c>
      <c r="B482" s="27" t="s">
        <v>350</v>
      </c>
      <c r="C482" s="27" t="s">
        <v>956</v>
      </c>
      <c r="D482" s="27" t="s">
        <v>7701</v>
      </c>
      <c r="F482" t="s">
        <v>38</v>
      </c>
      <c r="G482" t="s">
        <v>913</v>
      </c>
      <c r="H482" t="s">
        <v>31</v>
      </c>
      <c r="I482" t="str">
        <f t="shared" ref="I482:I495" si="33">IF(J482&lt;&gt;"","UFDB","")</f>
        <v>UFDB</v>
      </c>
      <c r="J482" t="s">
        <v>958</v>
      </c>
      <c r="K482" t="s">
        <v>33</v>
      </c>
      <c r="L482" t="s">
        <v>43</v>
      </c>
      <c r="M482" t="s">
        <v>33</v>
      </c>
      <c r="N482" t="s">
        <v>43</v>
      </c>
      <c r="O482" t="s">
        <v>33</v>
      </c>
      <c r="P482" t="s">
        <v>43</v>
      </c>
      <c r="Q482" t="s">
        <v>33</v>
      </c>
      <c r="R482" t="s">
        <v>43</v>
      </c>
      <c r="T482" t="s">
        <v>43</v>
      </c>
      <c r="U482" t="str">
        <f t="shared" si="30"/>
        <v/>
      </c>
      <c r="V482" t="str">
        <f t="shared" si="31"/>
        <v/>
      </c>
    </row>
    <row r="483" spans="1:22" x14ac:dyDescent="0.2">
      <c r="A483" t="s">
        <v>959</v>
      </c>
      <c r="B483" t="s">
        <v>957</v>
      </c>
      <c r="C483" t="s">
        <v>960</v>
      </c>
      <c r="D483" t="s">
        <v>961</v>
      </c>
      <c r="F483" t="s">
        <v>38</v>
      </c>
      <c r="G483" t="s">
        <v>913</v>
      </c>
      <c r="H483" t="s">
        <v>31</v>
      </c>
      <c r="I483" t="str">
        <f t="shared" si="33"/>
        <v>UFDB</v>
      </c>
      <c r="J483" t="s">
        <v>962</v>
      </c>
      <c r="K483" t="s">
        <v>33</v>
      </c>
      <c r="L483" t="s">
        <v>43</v>
      </c>
      <c r="M483" t="s">
        <v>33</v>
      </c>
      <c r="N483" t="s">
        <v>43</v>
      </c>
      <c r="O483" t="s">
        <v>33</v>
      </c>
      <c r="P483" t="s">
        <v>43</v>
      </c>
      <c r="Q483" t="s">
        <v>33</v>
      </c>
      <c r="R483" t="s">
        <v>43</v>
      </c>
      <c r="T483" t="s">
        <v>43</v>
      </c>
      <c r="U483" t="str">
        <f t="shared" si="30"/>
        <v/>
      </c>
      <c r="V483" t="str">
        <f t="shared" si="31"/>
        <v/>
      </c>
    </row>
    <row r="484" spans="1:22" x14ac:dyDescent="0.2">
      <c r="A484" t="s">
        <v>963</v>
      </c>
      <c r="B484" t="s">
        <v>961</v>
      </c>
      <c r="C484" t="s">
        <v>964</v>
      </c>
      <c r="D484" t="s">
        <v>36</v>
      </c>
      <c r="E484" t="s">
        <v>965</v>
      </c>
      <c r="F484" t="s">
        <v>38</v>
      </c>
      <c r="G484" t="s">
        <v>913</v>
      </c>
      <c r="H484" t="s">
        <v>31</v>
      </c>
      <c r="I484" t="str">
        <f t="shared" si="33"/>
        <v>UFDB</v>
      </c>
      <c r="J484" t="s">
        <v>966</v>
      </c>
      <c r="K484" t="s">
        <v>33</v>
      </c>
      <c r="L484" t="s">
        <v>43</v>
      </c>
      <c r="M484" t="s">
        <v>33</v>
      </c>
      <c r="N484" t="s">
        <v>43</v>
      </c>
      <c r="O484" t="s">
        <v>33</v>
      </c>
      <c r="P484" t="s">
        <v>43</v>
      </c>
      <c r="Q484" t="s">
        <v>33</v>
      </c>
      <c r="R484" t="s">
        <v>43</v>
      </c>
      <c r="T484" t="s">
        <v>43</v>
      </c>
      <c r="U484" t="str">
        <f t="shared" si="30"/>
        <v/>
      </c>
      <c r="V484" t="str">
        <f t="shared" si="31"/>
        <v/>
      </c>
    </row>
    <row r="485" spans="1:22" x14ac:dyDescent="0.2">
      <c r="A485" t="s">
        <v>967</v>
      </c>
      <c r="B485" t="s">
        <v>961</v>
      </c>
      <c r="C485" t="s">
        <v>968</v>
      </c>
      <c r="D485" t="s">
        <v>36</v>
      </c>
      <c r="E485" t="s">
        <v>969</v>
      </c>
      <c r="F485" t="s">
        <v>38</v>
      </c>
      <c r="G485" t="s">
        <v>913</v>
      </c>
      <c r="H485" t="s">
        <v>31</v>
      </c>
      <c r="I485" t="str">
        <f t="shared" si="33"/>
        <v>UFDB</v>
      </c>
      <c r="J485" t="s">
        <v>970</v>
      </c>
      <c r="K485" t="s">
        <v>33</v>
      </c>
      <c r="L485" t="s">
        <v>43</v>
      </c>
      <c r="M485" t="s">
        <v>33</v>
      </c>
      <c r="N485" t="s">
        <v>43</v>
      </c>
      <c r="O485" t="s">
        <v>33</v>
      </c>
      <c r="P485" t="s">
        <v>43</v>
      </c>
      <c r="Q485" t="s">
        <v>33</v>
      </c>
      <c r="R485" t="s">
        <v>43</v>
      </c>
      <c r="T485" t="s">
        <v>43</v>
      </c>
      <c r="U485" t="str">
        <f t="shared" si="30"/>
        <v/>
      </c>
      <c r="V485" t="str">
        <f t="shared" si="31"/>
        <v/>
      </c>
    </row>
    <row r="486" spans="1:22" x14ac:dyDescent="0.2">
      <c r="A486" t="s">
        <v>971</v>
      </c>
      <c r="B486" t="s">
        <v>961</v>
      </c>
      <c r="C486" t="s">
        <v>972</v>
      </c>
      <c r="D486" t="s">
        <v>36</v>
      </c>
      <c r="E486" s="15" t="s">
        <v>973</v>
      </c>
      <c r="F486" t="s">
        <v>29</v>
      </c>
      <c r="G486" t="s">
        <v>30</v>
      </c>
      <c r="H486" t="s">
        <v>31</v>
      </c>
      <c r="I486" t="str">
        <f t="shared" si="33"/>
        <v>UFDB</v>
      </c>
      <c r="J486" t="s">
        <v>974</v>
      </c>
      <c r="K486" t="s">
        <v>43</v>
      </c>
      <c r="L486" t="s">
        <v>43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43</v>
      </c>
      <c r="T486" t="s">
        <v>43</v>
      </c>
      <c r="U486" t="str">
        <f t="shared" si="30"/>
        <v/>
      </c>
      <c r="V486" t="str">
        <f t="shared" si="31"/>
        <v>Ja</v>
      </c>
    </row>
    <row r="487" spans="1:22" x14ac:dyDescent="0.2">
      <c r="A487" t="s">
        <v>975</v>
      </c>
      <c r="B487" t="s">
        <v>961</v>
      </c>
      <c r="C487" t="s">
        <v>976</v>
      </c>
      <c r="D487" t="s">
        <v>160</v>
      </c>
      <c r="E487" t="s">
        <v>977</v>
      </c>
      <c r="F487" t="s">
        <v>323</v>
      </c>
      <c r="G487" t="s">
        <v>30</v>
      </c>
      <c r="H487" t="s">
        <v>31</v>
      </c>
      <c r="I487" t="str">
        <f t="shared" si="33"/>
        <v>UFDB</v>
      </c>
      <c r="J487" t="s">
        <v>978</v>
      </c>
      <c r="K487" t="s">
        <v>43</v>
      </c>
      <c r="L487" t="s">
        <v>43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T487" t="s">
        <v>43</v>
      </c>
      <c r="U487" t="str">
        <f t="shared" si="30"/>
        <v/>
      </c>
      <c r="V487" t="str">
        <f t="shared" si="31"/>
        <v>Ja</v>
      </c>
    </row>
    <row r="488" spans="1:22" x14ac:dyDescent="0.2">
      <c r="A488" t="s">
        <v>979</v>
      </c>
      <c r="B488" t="s">
        <v>961</v>
      </c>
      <c r="C488" t="s">
        <v>980</v>
      </c>
      <c r="D488" t="s">
        <v>176</v>
      </c>
      <c r="E488" t="s">
        <v>981</v>
      </c>
      <c r="F488" t="s">
        <v>38</v>
      </c>
      <c r="G488" t="s">
        <v>30</v>
      </c>
      <c r="H488" t="s">
        <v>31</v>
      </c>
      <c r="I488" t="str">
        <f t="shared" si="33"/>
        <v>UFDB</v>
      </c>
      <c r="J488" t="s">
        <v>982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T488" t="s">
        <v>43</v>
      </c>
      <c r="U488" t="str">
        <f t="shared" si="30"/>
        <v/>
      </c>
      <c r="V488" t="str">
        <f t="shared" si="31"/>
        <v>Ja</v>
      </c>
    </row>
    <row r="489" spans="1:22" x14ac:dyDescent="0.2">
      <c r="A489" t="s">
        <v>7696</v>
      </c>
      <c r="B489" t="s">
        <v>961</v>
      </c>
      <c r="C489" t="s">
        <v>81</v>
      </c>
      <c r="D489" t="s">
        <v>46</v>
      </c>
    </row>
    <row r="490" spans="1:22" x14ac:dyDescent="0.2">
      <c r="A490" t="s">
        <v>983</v>
      </c>
      <c r="B490" t="s">
        <v>46</v>
      </c>
      <c r="C490" t="s">
        <v>69</v>
      </c>
      <c r="D490" t="s">
        <v>36</v>
      </c>
      <c r="E490" t="s">
        <v>984</v>
      </c>
      <c r="F490" t="s">
        <v>38</v>
      </c>
      <c r="G490" t="s">
        <v>30</v>
      </c>
      <c r="H490" t="s">
        <v>31</v>
      </c>
      <c r="I490" t="str">
        <f t="shared" si="33"/>
        <v>UFDB</v>
      </c>
      <c r="J490" t="s">
        <v>985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T490" t="s">
        <v>43</v>
      </c>
      <c r="U490" t="str">
        <f t="shared" si="30"/>
        <v/>
      </c>
      <c r="V490" t="str">
        <f t="shared" si="31"/>
        <v>Ja</v>
      </c>
    </row>
    <row r="491" spans="1:22" x14ac:dyDescent="0.2">
      <c r="A491" t="s">
        <v>986</v>
      </c>
      <c r="B491" t="s">
        <v>46</v>
      </c>
      <c r="C491" t="s">
        <v>73</v>
      </c>
      <c r="D491" t="s">
        <v>7697</v>
      </c>
      <c r="E491" t="s">
        <v>987</v>
      </c>
      <c r="F491" t="s">
        <v>323</v>
      </c>
      <c r="G491" t="s">
        <v>30</v>
      </c>
      <c r="H491" t="s">
        <v>31</v>
      </c>
      <c r="I491" t="str">
        <f t="shared" si="33"/>
        <v>UFDB</v>
      </c>
      <c r="J491" t="s">
        <v>988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T491" t="s">
        <v>43</v>
      </c>
      <c r="U491" t="str">
        <f t="shared" si="30"/>
        <v/>
      </c>
      <c r="V491" t="str">
        <f t="shared" si="31"/>
        <v>Ja</v>
      </c>
    </row>
    <row r="492" spans="1:22" x14ac:dyDescent="0.2">
      <c r="A492" t="s">
        <v>989</v>
      </c>
      <c r="B492" t="s">
        <v>957</v>
      </c>
      <c r="C492" t="s">
        <v>990</v>
      </c>
      <c r="D492" t="s">
        <v>36</v>
      </c>
      <c r="E492" t="s">
        <v>991</v>
      </c>
      <c r="F492" t="s">
        <v>323</v>
      </c>
      <c r="G492" t="s">
        <v>30</v>
      </c>
      <c r="H492" t="s">
        <v>31</v>
      </c>
      <c r="I492" t="str">
        <f t="shared" si="33"/>
        <v>UFDB</v>
      </c>
      <c r="J492" t="s">
        <v>992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T492" t="s">
        <v>43</v>
      </c>
      <c r="U492" t="str">
        <f t="shared" si="30"/>
        <v/>
      </c>
      <c r="V492" t="str">
        <f t="shared" si="31"/>
        <v>Ja</v>
      </c>
    </row>
    <row r="493" spans="1:22" x14ac:dyDescent="0.2">
      <c r="A493" t="s">
        <v>993</v>
      </c>
      <c r="B493" t="s">
        <v>957</v>
      </c>
      <c r="C493" t="s">
        <v>994</v>
      </c>
      <c r="D493" t="s">
        <v>36</v>
      </c>
      <c r="E493" t="s">
        <v>995</v>
      </c>
      <c r="F493" t="s">
        <v>38</v>
      </c>
      <c r="G493" t="s">
        <v>139</v>
      </c>
      <c r="H493" t="s">
        <v>31</v>
      </c>
      <c r="I493" t="str">
        <f t="shared" si="33"/>
        <v>UFDB</v>
      </c>
      <c r="J493" t="s">
        <v>996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T493" t="s">
        <v>43</v>
      </c>
      <c r="U493" t="str">
        <f t="shared" si="30"/>
        <v/>
      </c>
      <c r="V493" t="str">
        <f t="shared" si="31"/>
        <v>Ja</v>
      </c>
    </row>
    <row r="494" spans="1:22" x14ac:dyDescent="0.2">
      <c r="A494" t="s">
        <v>997</v>
      </c>
      <c r="B494" t="s">
        <v>80</v>
      </c>
      <c r="C494" t="s">
        <v>998</v>
      </c>
      <c r="D494" t="s">
        <v>999</v>
      </c>
      <c r="E494" s="25"/>
      <c r="F494" t="s">
        <v>29</v>
      </c>
      <c r="G494" t="s">
        <v>30</v>
      </c>
      <c r="H494" t="s">
        <v>31</v>
      </c>
      <c r="I494" t="str">
        <f t="shared" si="33"/>
        <v>UFDB</v>
      </c>
      <c r="J494" t="s">
        <v>1000</v>
      </c>
      <c r="K494" t="s">
        <v>33</v>
      </c>
      <c r="L494" t="s">
        <v>43</v>
      </c>
      <c r="M494" t="s">
        <v>33</v>
      </c>
      <c r="N494" t="s">
        <v>43</v>
      </c>
      <c r="O494" t="s">
        <v>33</v>
      </c>
      <c r="P494" t="s">
        <v>43</v>
      </c>
      <c r="Q494" t="s">
        <v>33</v>
      </c>
      <c r="R494" t="s">
        <v>43</v>
      </c>
      <c r="T494" t="s">
        <v>43</v>
      </c>
      <c r="U494" t="str">
        <f t="shared" si="30"/>
        <v/>
      </c>
      <c r="V494" t="str">
        <f t="shared" si="31"/>
        <v/>
      </c>
    </row>
    <row r="495" spans="1:22" x14ac:dyDescent="0.2">
      <c r="A495" t="s">
        <v>1001</v>
      </c>
      <c r="B495" t="s">
        <v>961</v>
      </c>
      <c r="C495" t="s">
        <v>26</v>
      </c>
      <c r="D495" t="s">
        <v>27</v>
      </c>
      <c r="E495" s="15" t="s">
        <v>1002</v>
      </c>
      <c r="F495" t="s">
        <v>323</v>
      </c>
      <c r="G495" t="s">
        <v>30</v>
      </c>
      <c r="H495" t="s">
        <v>31</v>
      </c>
      <c r="I495" t="str">
        <f t="shared" si="33"/>
        <v>UFDB</v>
      </c>
      <c r="J495" t="s">
        <v>1003</v>
      </c>
      <c r="K495" t="s">
        <v>33</v>
      </c>
      <c r="L495" t="s">
        <v>43</v>
      </c>
      <c r="M495" t="s">
        <v>33</v>
      </c>
      <c r="N495" t="s">
        <v>43</v>
      </c>
      <c r="O495" t="s">
        <v>33</v>
      </c>
      <c r="P495" t="s">
        <v>43</v>
      </c>
      <c r="Q495" t="s">
        <v>33</v>
      </c>
      <c r="R495" t="s">
        <v>43</v>
      </c>
      <c r="T495" t="s">
        <v>43</v>
      </c>
      <c r="U495" t="str">
        <f t="shared" si="30"/>
        <v/>
      </c>
      <c r="V495" t="str">
        <f t="shared" si="31"/>
        <v/>
      </c>
    </row>
    <row r="496" spans="1:22" x14ac:dyDescent="0.2">
      <c r="A496" t="s">
        <v>1004</v>
      </c>
      <c r="B496" t="s">
        <v>961</v>
      </c>
      <c r="C496" t="s">
        <v>1005</v>
      </c>
      <c r="D496" t="s">
        <v>36</v>
      </c>
      <c r="E496" s="15" t="s">
        <v>1006</v>
      </c>
      <c r="F496" t="s">
        <v>323</v>
      </c>
      <c r="G496" t="s">
        <v>139</v>
      </c>
      <c r="H496" t="s">
        <v>784</v>
      </c>
      <c r="I496" t="s">
        <v>111</v>
      </c>
      <c r="J496" t="s">
        <v>1007</v>
      </c>
      <c r="K496" t="s">
        <v>33</v>
      </c>
      <c r="L496" t="s">
        <v>43</v>
      </c>
      <c r="M496" t="s">
        <v>33</v>
      </c>
      <c r="N496" t="s">
        <v>43</v>
      </c>
      <c r="O496" t="s">
        <v>33</v>
      </c>
      <c r="P496" t="s">
        <v>43</v>
      </c>
      <c r="Q496" t="s">
        <v>33</v>
      </c>
      <c r="R496" t="s">
        <v>43</v>
      </c>
      <c r="T496" t="s">
        <v>43</v>
      </c>
      <c r="U496" t="str">
        <f t="shared" si="30"/>
        <v/>
      </c>
      <c r="V496" t="str">
        <f t="shared" si="31"/>
        <v/>
      </c>
    </row>
    <row r="497" spans="1:22" x14ac:dyDescent="0.2">
      <c r="A497" t="s">
        <v>1008</v>
      </c>
      <c r="B497" t="s">
        <v>961</v>
      </c>
      <c r="C497" t="s">
        <v>964</v>
      </c>
      <c r="D497" t="s">
        <v>36</v>
      </c>
      <c r="E497" s="15" t="s">
        <v>1009</v>
      </c>
      <c r="F497" t="s">
        <v>323</v>
      </c>
      <c r="G497" t="s">
        <v>139</v>
      </c>
      <c r="H497" t="s">
        <v>784</v>
      </c>
      <c r="I497" t="s">
        <v>111</v>
      </c>
      <c r="J497" t="s">
        <v>1010</v>
      </c>
      <c r="K497" t="s">
        <v>33</v>
      </c>
      <c r="L497" t="s">
        <v>43</v>
      </c>
      <c r="M497" t="s">
        <v>33</v>
      </c>
      <c r="N497" t="s">
        <v>43</v>
      </c>
      <c r="O497" t="s">
        <v>33</v>
      </c>
      <c r="P497" t="s">
        <v>43</v>
      </c>
      <c r="Q497" t="s">
        <v>33</v>
      </c>
      <c r="R497" t="s">
        <v>43</v>
      </c>
      <c r="T497" t="s">
        <v>43</v>
      </c>
      <c r="U497" t="str">
        <f t="shared" si="30"/>
        <v/>
      </c>
      <c r="V497" t="str">
        <f t="shared" si="31"/>
        <v/>
      </c>
    </row>
    <row r="498" spans="1:22" x14ac:dyDescent="0.2">
      <c r="A498" t="s">
        <v>1011</v>
      </c>
      <c r="B498" t="s">
        <v>961</v>
      </c>
      <c r="C498" t="s">
        <v>968</v>
      </c>
      <c r="D498" t="s">
        <v>36</v>
      </c>
      <c r="E498" s="15" t="s">
        <v>1012</v>
      </c>
      <c r="F498" t="s">
        <v>323</v>
      </c>
      <c r="G498" t="s">
        <v>30</v>
      </c>
      <c r="H498" t="s">
        <v>31</v>
      </c>
      <c r="I498" t="s">
        <v>111</v>
      </c>
      <c r="J498" t="s">
        <v>1013</v>
      </c>
      <c r="K498" t="s">
        <v>33</v>
      </c>
      <c r="L498" t="s">
        <v>43</v>
      </c>
      <c r="M498" t="s">
        <v>33</v>
      </c>
      <c r="N498" t="s">
        <v>43</v>
      </c>
      <c r="O498" t="s">
        <v>33</v>
      </c>
      <c r="P498" t="s">
        <v>43</v>
      </c>
      <c r="Q498" t="s">
        <v>33</v>
      </c>
      <c r="R498" t="s">
        <v>43</v>
      </c>
      <c r="T498" t="s">
        <v>43</v>
      </c>
      <c r="U498" t="str">
        <f t="shared" si="30"/>
        <v/>
      </c>
      <c r="V498" t="str">
        <f t="shared" si="31"/>
        <v/>
      </c>
    </row>
    <row r="499" spans="1:22" x14ac:dyDescent="0.2">
      <c r="A499" t="s">
        <v>1014</v>
      </c>
      <c r="B499" t="s">
        <v>961</v>
      </c>
      <c r="C499" t="s">
        <v>972</v>
      </c>
      <c r="D499" t="s">
        <v>36</v>
      </c>
      <c r="E499" s="15" t="s">
        <v>1015</v>
      </c>
      <c r="G499" t="s">
        <v>30</v>
      </c>
      <c r="H499" t="s">
        <v>31</v>
      </c>
      <c r="I499" t="s">
        <v>111</v>
      </c>
      <c r="J499" t="s">
        <v>1016</v>
      </c>
      <c r="K499" t="s">
        <v>43</v>
      </c>
      <c r="L499" t="s">
        <v>33</v>
      </c>
      <c r="M499" t="s">
        <v>43</v>
      </c>
      <c r="N499" t="s">
        <v>33</v>
      </c>
      <c r="O499" t="s">
        <v>43</v>
      </c>
      <c r="P499" t="s">
        <v>33</v>
      </c>
      <c r="Q499" t="s">
        <v>43</v>
      </c>
      <c r="R499" t="s">
        <v>33</v>
      </c>
      <c r="T499" t="s">
        <v>43</v>
      </c>
      <c r="U499" t="str">
        <f t="shared" si="30"/>
        <v/>
      </c>
      <c r="V499" t="str">
        <f t="shared" si="31"/>
        <v/>
      </c>
    </row>
    <row r="500" spans="1:22" x14ac:dyDescent="0.2">
      <c r="A500" t="s">
        <v>1017</v>
      </c>
      <c r="B500" t="s">
        <v>961</v>
      </c>
      <c r="C500" t="s">
        <v>976</v>
      </c>
      <c r="D500" t="s">
        <v>160</v>
      </c>
      <c r="E500" s="15" t="s">
        <v>1018</v>
      </c>
      <c r="G500" t="s">
        <v>30</v>
      </c>
      <c r="H500" t="s">
        <v>31</v>
      </c>
      <c r="I500" t="s">
        <v>111</v>
      </c>
      <c r="J500" t="s">
        <v>1019</v>
      </c>
      <c r="K500" t="s">
        <v>43</v>
      </c>
      <c r="L500" t="s">
        <v>33</v>
      </c>
      <c r="M500" t="s">
        <v>43</v>
      </c>
      <c r="N500" t="s">
        <v>33</v>
      </c>
      <c r="O500" t="s">
        <v>43</v>
      </c>
      <c r="P500" t="s">
        <v>33</v>
      </c>
      <c r="Q500" t="s">
        <v>43</v>
      </c>
      <c r="R500" t="s">
        <v>33</v>
      </c>
      <c r="T500" t="s">
        <v>43</v>
      </c>
      <c r="U500" t="str">
        <f t="shared" si="30"/>
        <v/>
      </c>
      <c r="V500" t="str">
        <f t="shared" si="31"/>
        <v/>
      </c>
    </row>
    <row r="501" spans="1:22" x14ac:dyDescent="0.2">
      <c r="A501" t="s">
        <v>1020</v>
      </c>
      <c r="B501" t="s">
        <v>961</v>
      </c>
      <c r="C501" t="s">
        <v>980</v>
      </c>
      <c r="D501" t="s">
        <v>176</v>
      </c>
      <c r="E501" t="s">
        <v>1021</v>
      </c>
      <c r="G501" t="s">
        <v>30</v>
      </c>
      <c r="H501" t="s">
        <v>31</v>
      </c>
      <c r="I501" t="s">
        <v>111</v>
      </c>
      <c r="J501" t="s">
        <v>1022</v>
      </c>
      <c r="K501" t="s">
        <v>43</v>
      </c>
      <c r="L501" t="s">
        <v>43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43</v>
      </c>
      <c r="T501" t="s">
        <v>43</v>
      </c>
      <c r="U501" t="str">
        <f t="shared" si="30"/>
        <v/>
      </c>
      <c r="V501" t="str">
        <f t="shared" si="31"/>
        <v>Ja</v>
      </c>
    </row>
    <row r="502" spans="1:22" x14ac:dyDescent="0.2">
      <c r="A502" t="s">
        <v>1023</v>
      </c>
      <c r="B502" t="s">
        <v>961</v>
      </c>
      <c r="C502" t="s">
        <v>980</v>
      </c>
      <c r="D502" t="s">
        <v>176</v>
      </c>
      <c r="E502" t="s">
        <v>1021</v>
      </c>
      <c r="G502" t="s">
        <v>30</v>
      </c>
      <c r="H502" t="s">
        <v>31</v>
      </c>
      <c r="I502" t="s">
        <v>1024</v>
      </c>
      <c r="K502" t="s">
        <v>33</v>
      </c>
      <c r="L502" t="s">
        <v>43</v>
      </c>
      <c r="M502" t="s">
        <v>33</v>
      </c>
      <c r="N502" t="s">
        <v>43</v>
      </c>
      <c r="O502" t="s">
        <v>33</v>
      </c>
      <c r="P502" t="s">
        <v>43</v>
      </c>
      <c r="Q502" t="s">
        <v>33</v>
      </c>
      <c r="R502" t="s">
        <v>43</v>
      </c>
      <c r="T502" t="s">
        <v>43</v>
      </c>
      <c r="U502" t="str">
        <f t="shared" si="30"/>
        <v/>
      </c>
      <c r="V502" t="str">
        <f t="shared" si="31"/>
        <v/>
      </c>
    </row>
    <row r="503" spans="1:22" x14ac:dyDescent="0.2">
      <c r="A503" t="s">
        <v>1025</v>
      </c>
      <c r="B503" t="s">
        <v>999</v>
      </c>
      <c r="C503" t="s">
        <v>1026</v>
      </c>
      <c r="D503" t="s">
        <v>1027</v>
      </c>
      <c r="E503" t="s">
        <v>1028</v>
      </c>
      <c r="F503" t="s">
        <v>38</v>
      </c>
      <c r="G503" t="s">
        <v>30</v>
      </c>
      <c r="H503" t="s">
        <v>31</v>
      </c>
      <c r="I503" t="s">
        <v>740</v>
      </c>
      <c r="K503" t="s">
        <v>33</v>
      </c>
      <c r="L503" t="s">
        <v>43</v>
      </c>
      <c r="M503" t="s">
        <v>33</v>
      </c>
      <c r="N503" t="s">
        <v>43</v>
      </c>
      <c r="O503" t="s">
        <v>33</v>
      </c>
      <c r="P503" t="s">
        <v>43</v>
      </c>
      <c r="Q503" t="s">
        <v>33</v>
      </c>
      <c r="R503" t="s">
        <v>43</v>
      </c>
      <c r="T503" t="s">
        <v>43</v>
      </c>
      <c r="U503" t="str">
        <f t="shared" si="30"/>
        <v/>
      </c>
      <c r="V503" t="str">
        <f t="shared" si="31"/>
        <v/>
      </c>
    </row>
    <row r="504" spans="1:22" ht="16" x14ac:dyDescent="0.2">
      <c r="A504" t="s">
        <v>1029</v>
      </c>
      <c r="C504" s="27" t="s">
        <v>1030</v>
      </c>
      <c r="E504" t="s">
        <v>1031</v>
      </c>
      <c r="F504" t="s">
        <v>38</v>
      </c>
      <c r="G504" t="s">
        <v>139</v>
      </c>
      <c r="H504" t="s">
        <v>31</v>
      </c>
      <c r="I504" t="s">
        <v>740</v>
      </c>
      <c r="K504" t="s">
        <v>33</v>
      </c>
      <c r="L504" t="s">
        <v>43</v>
      </c>
      <c r="M504" t="s">
        <v>33</v>
      </c>
      <c r="N504" t="s">
        <v>43</v>
      </c>
      <c r="O504" t="s">
        <v>33</v>
      </c>
      <c r="P504" t="s">
        <v>43</v>
      </c>
      <c r="Q504" t="s">
        <v>33</v>
      </c>
      <c r="R504" t="s">
        <v>43</v>
      </c>
      <c r="T504" t="s">
        <v>43</v>
      </c>
      <c r="U504" t="str">
        <f t="shared" si="30"/>
        <v/>
      </c>
      <c r="V504" t="str">
        <f t="shared" si="31"/>
        <v/>
      </c>
    </row>
    <row r="505" spans="1:22" x14ac:dyDescent="0.2">
      <c r="A505" t="s">
        <v>1032</v>
      </c>
      <c r="B505" t="s">
        <v>999</v>
      </c>
      <c r="C505" t="s">
        <v>1033</v>
      </c>
      <c r="D505" t="s">
        <v>143</v>
      </c>
      <c r="E505" t="s">
        <v>1034</v>
      </c>
      <c r="F505" t="s">
        <v>38</v>
      </c>
      <c r="G505" t="s">
        <v>30</v>
      </c>
      <c r="H505" t="s">
        <v>31</v>
      </c>
      <c r="I505" t="s">
        <v>740</v>
      </c>
      <c r="K505" t="s">
        <v>33</v>
      </c>
      <c r="L505" t="s">
        <v>43</v>
      </c>
      <c r="M505" t="s">
        <v>33</v>
      </c>
      <c r="N505" t="s">
        <v>43</v>
      </c>
      <c r="O505" t="s">
        <v>33</v>
      </c>
      <c r="P505" t="s">
        <v>43</v>
      </c>
      <c r="Q505" t="s">
        <v>33</v>
      </c>
      <c r="R505" t="s">
        <v>43</v>
      </c>
      <c r="T505" t="s">
        <v>43</v>
      </c>
      <c r="U505" t="str">
        <f t="shared" si="30"/>
        <v/>
      </c>
      <c r="V505" t="str">
        <f t="shared" si="31"/>
        <v/>
      </c>
    </row>
    <row r="506" spans="1:22" x14ac:dyDescent="0.2">
      <c r="A506" t="s">
        <v>1035</v>
      </c>
      <c r="B506" t="s">
        <v>999</v>
      </c>
      <c r="C506" t="s">
        <v>1036</v>
      </c>
      <c r="D506" t="s">
        <v>1037</v>
      </c>
      <c r="E506" t="s">
        <v>1038</v>
      </c>
      <c r="F506" t="s">
        <v>38</v>
      </c>
      <c r="G506" t="s">
        <v>30</v>
      </c>
      <c r="H506" t="s">
        <v>31</v>
      </c>
      <c r="I506" t="s">
        <v>740</v>
      </c>
      <c r="K506" t="s">
        <v>33</v>
      </c>
      <c r="L506" t="s">
        <v>43</v>
      </c>
      <c r="M506" t="s">
        <v>33</v>
      </c>
      <c r="N506" t="s">
        <v>43</v>
      </c>
      <c r="O506" t="s">
        <v>33</v>
      </c>
      <c r="P506" t="s">
        <v>43</v>
      </c>
      <c r="Q506" t="s">
        <v>33</v>
      </c>
      <c r="R506" t="s">
        <v>43</v>
      </c>
      <c r="T506" t="s">
        <v>43</v>
      </c>
      <c r="U506" t="str">
        <f t="shared" si="30"/>
        <v/>
      </c>
      <c r="V506" t="str">
        <f t="shared" si="31"/>
        <v/>
      </c>
    </row>
    <row r="507" spans="1:22" x14ac:dyDescent="0.2">
      <c r="A507" t="s">
        <v>1039</v>
      </c>
      <c r="B507" t="s">
        <v>999</v>
      </c>
      <c r="C507" t="s">
        <v>1040</v>
      </c>
      <c r="D507" t="s">
        <v>160</v>
      </c>
      <c r="E507" t="s">
        <v>1041</v>
      </c>
      <c r="G507" t="s">
        <v>30</v>
      </c>
      <c r="H507" t="s">
        <v>31</v>
      </c>
      <c r="I507" t="s">
        <v>111</v>
      </c>
      <c r="J507" t="s">
        <v>1042</v>
      </c>
      <c r="K507" t="s">
        <v>33</v>
      </c>
      <c r="L507" t="s">
        <v>43</v>
      </c>
      <c r="M507" t="s">
        <v>33</v>
      </c>
      <c r="N507" t="s">
        <v>43</v>
      </c>
      <c r="O507" t="s">
        <v>33</v>
      </c>
      <c r="P507" t="s">
        <v>43</v>
      </c>
      <c r="Q507" t="s">
        <v>33</v>
      </c>
      <c r="R507" t="s">
        <v>43</v>
      </c>
      <c r="T507" t="s">
        <v>43</v>
      </c>
      <c r="U507" t="str">
        <f t="shared" si="30"/>
        <v/>
      </c>
      <c r="V507" t="str">
        <f t="shared" si="31"/>
        <v/>
      </c>
    </row>
    <row r="508" spans="1:22" x14ac:dyDescent="0.2">
      <c r="A508" t="s">
        <v>1043</v>
      </c>
      <c r="B508" t="s">
        <v>999</v>
      </c>
      <c r="C508" t="s">
        <v>1044</v>
      </c>
      <c r="D508" t="s">
        <v>160</v>
      </c>
      <c r="E508" t="s">
        <v>1045</v>
      </c>
      <c r="G508" t="s">
        <v>30</v>
      </c>
      <c r="H508" t="s">
        <v>31</v>
      </c>
      <c r="I508" t="s">
        <v>1024</v>
      </c>
      <c r="K508" t="s">
        <v>33</v>
      </c>
      <c r="L508" t="s">
        <v>43</v>
      </c>
      <c r="M508" t="s">
        <v>33</v>
      </c>
      <c r="N508" t="s">
        <v>43</v>
      </c>
      <c r="O508" t="s">
        <v>33</v>
      </c>
      <c r="P508" t="s">
        <v>43</v>
      </c>
      <c r="Q508" t="s">
        <v>33</v>
      </c>
      <c r="R508" t="s">
        <v>43</v>
      </c>
      <c r="T508" t="s">
        <v>43</v>
      </c>
      <c r="U508" t="str">
        <f t="shared" si="30"/>
        <v/>
      </c>
      <c r="V508" t="str">
        <f t="shared" si="31"/>
        <v/>
      </c>
    </row>
    <row r="509" spans="1:22" x14ac:dyDescent="0.2">
      <c r="A509" t="s">
        <v>1046</v>
      </c>
      <c r="B509" t="s">
        <v>80</v>
      </c>
      <c r="C509" t="s">
        <v>998</v>
      </c>
      <c r="D509" t="s">
        <v>999</v>
      </c>
      <c r="E509" s="15"/>
      <c r="G509" t="s">
        <v>30</v>
      </c>
      <c r="H509" t="s">
        <v>31</v>
      </c>
      <c r="I509" t="s">
        <v>1047</v>
      </c>
      <c r="K509" t="s">
        <v>33</v>
      </c>
      <c r="L509" t="s">
        <v>43</v>
      </c>
      <c r="M509" t="s">
        <v>33</v>
      </c>
      <c r="N509" t="s">
        <v>43</v>
      </c>
      <c r="O509" t="s">
        <v>33</v>
      </c>
      <c r="P509" t="s">
        <v>43</v>
      </c>
      <c r="Q509" t="s">
        <v>33</v>
      </c>
      <c r="R509" t="s">
        <v>43</v>
      </c>
      <c r="T509" t="s">
        <v>43</v>
      </c>
      <c r="U509" t="str">
        <f t="shared" si="30"/>
        <v/>
      </c>
      <c r="V509" t="str">
        <f t="shared" si="31"/>
        <v/>
      </c>
    </row>
    <row r="510" spans="1:22" x14ac:dyDescent="0.2">
      <c r="A510" t="s">
        <v>1048</v>
      </c>
      <c r="B510" t="s">
        <v>961</v>
      </c>
      <c r="C510" t="s">
        <v>26</v>
      </c>
      <c r="D510" t="s">
        <v>27</v>
      </c>
      <c r="E510" s="15" t="s">
        <v>1049</v>
      </c>
      <c r="G510" t="s">
        <v>30</v>
      </c>
      <c r="H510" t="s">
        <v>31</v>
      </c>
      <c r="I510" t="s">
        <v>1047</v>
      </c>
      <c r="K510" t="s">
        <v>33</v>
      </c>
      <c r="L510" t="s">
        <v>43</v>
      </c>
      <c r="M510" t="s">
        <v>33</v>
      </c>
      <c r="N510" t="s">
        <v>43</v>
      </c>
      <c r="O510" t="s">
        <v>33</v>
      </c>
      <c r="P510" t="s">
        <v>43</v>
      </c>
      <c r="Q510" t="s">
        <v>33</v>
      </c>
      <c r="R510" t="s">
        <v>43</v>
      </c>
      <c r="T510" t="s">
        <v>43</v>
      </c>
      <c r="U510" t="str">
        <f t="shared" si="30"/>
        <v/>
      </c>
      <c r="V510" t="str">
        <f t="shared" si="31"/>
        <v/>
      </c>
    </row>
    <row r="511" spans="1:22" x14ac:dyDescent="0.2">
      <c r="A511" t="s">
        <v>1050</v>
      </c>
      <c r="B511" t="s">
        <v>999</v>
      </c>
      <c r="C511" t="s">
        <v>1026</v>
      </c>
      <c r="D511" t="s">
        <v>1027</v>
      </c>
      <c r="E511" s="15" t="s">
        <v>1051</v>
      </c>
      <c r="G511" t="s">
        <v>30</v>
      </c>
      <c r="H511" t="s">
        <v>31</v>
      </c>
      <c r="I511" t="s">
        <v>1047</v>
      </c>
      <c r="K511" t="s">
        <v>33</v>
      </c>
      <c r="L511" t="s">
        <v>43</v>
      </c>
      <c r="M511" t="s">
        <v>33</v>
      </c>
      <c r="N511" t="s">
        <v>43</v>
      </c>
      <c r="O511" t="s">
        <v>33</v>
      </c>
      <c r="P511" t="s">
        <v>43</v>
      </c>
      <c r="Q511" t="s">
        <v>33</v>
      </c>
      <c r="R511" t="s">
        <v>43</v>
      </c>
      <c r="T511" t="s">
        <v>43</v>
      </c>
      <c r="U511" t="str">
        <f t="shared" si="30"/>
        <v/>
      </c>
      <c r="V511" t="str">
        <f t="shared" si="31"/>
        <v/>
      </c>
    </row>
    <row r="512" spans="1:22" ht="16" x14ac:dyDescent="0.2">
      <c r="A512" t="s">
        <v>1052</v>
      </c>
      <c r="C512" s="27" t="s">
        <v>1030</v>
      </c>
      <c r="E512" s="15" t="s">
        <v>1053</v>
      </c>
      <c r="F512" t="s">
        <v>29</v>
      </c>
      <c r="G512" t="s">
        <v>30</v>
      </c>
      <c r="H512" t="s">
        <v>31</v>
      </c>
      <c r="I512" t="str">
        <f t="shared" ref="I512:I522" si="34">IF(J512&lt;&gt;"","UFDB","")</f>
        <v>UFDB</v>
      </c>
      <c r="J512" t="s">
        <v>32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33</v>
      </c>
      <c r="T512" t="s">
        <v>43</v>
      </c>
      <c r="U512" t="str">
        <f t="shared" si="30"/>
        <v/>
      </c>
      <c r="V512" t="str">
        <f t="shared" si="31"/>
        <v/>
      </c>
    </row>
    <row r="513" spans="1:22" x14ac:dyDescent="0.2">
      <c r="A513" t="s">
        <v>1054</v>
      </c>
      <c r="B513" t="s">
        <v>999</v>
      </c>
      <c r="C513" t="s">
        <v>1033</v>
      </c>
      <c r="D513" t="s">
        <v>143</v>
      </c>
      <c r="E513" s="15" t="s">
        <v>1055</v>
      </c>
      <c r="F513" t="s">
        <v>38</v>
      </c>
      <c r="G513" t="s">
        <v>30</v>
      </c>
      <c r="H513" t="s">
        <v>31</v>
      </c>
      <c r="I513" t="str">
        <f t="shared" si="34"/>
        <v>UFDB</v>
      </c>
      <c r="J513" t="s">
        <v>39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</v>
      </c>
      <c r="T513" t="s">
        <v>43</v>
      </c>
      <c r="U513" t="str">
        <f t="shared" si="30"/>
        <v/>
      </c>
      <c r="V513" t="str">
        <f t="shared" si="31"/>
        <v/>
      </c>
    </row>
    <row r="514" spans="1:22" x14ac:dyDescent="0.2">
      <c r="A514" t="s">
        <v>1056</v>
      </c>
      <c r="B514" t="s">
        <v>999</v>
      </c>
      <c r="C514" t="s">
        <v>1036</v>
      </c>
      <c r="D514" t="s">
        <v>1037</v>
      </c>
      <c r="E514" s="15" t="s">
        <v>1057</v>
      </c>
      <c r="F514" t="s">
        <v>38</v>
      </c>
      <c r="G514" t="s">
        <v>30</v>
      </c>
      <c r="H514" t="s">
        <v>31</v>
      </c>
      <c r="I514" t="str">
        <f t="shared" si="34"/>
        <v>UFDB</v>
      </c>
      <c r="J514" t="s">
        <v>42</v>
      </c>
      <c r="K514" t="s">
        <v>33</v>
      </c>
      <c r="L514" t="s">
        <v>43</v>
      </c>
      <c r="M514" t="s">
        <v>33</v>
      </c>
      <c r="N514" t="s">
        <v>43</v>
      </c>
      <c r="O514" t="s">
        <v>33</v>
      </c>
      <c r="P514" t="s">
        <v>43</v>
      </c>
      <c r="Q514" t="s">
        <v>33</v>
      </c>
      <c r="R514" t="s">
        <v>43</v>
      </c>
      <c r="T514" t="s">
        <v>43</v>
      </c>
      <c r="U514" t="str">
        <f t="shared" si="30"/>
        <v/>
      </c>
      <c r="V514" t="str">
        <f t="shared" si="31"/>
        <v/>
      </c>
    </row>
    <row r="515" spans="1:22" x14ac:dyDescent="0.2">
      <c r="A515" t="s">
        <v>1058</v>
      </c>
      <c r="B515" t="s">
        <v>999</v>
      </c>
      <c r="C515" t="s">
        <v>1040</v>
      </c>
      <c r="D515" t="s">
        <v>160</v>
      </c>
      <c r="E515" s="15" t="s">
        <v>1059</v>
      </c>
      <c r="F515" t="s">
        <v>38</v>
      </c>
      <c r="G515" t="s">
        <v>30</v>
      </c>
      <c r="H515" t="s">
        <v>31</v>
      </c>
      <c r="I515" t="str">
        <f t="shared" si="34"/>
        <v>UFDB</v>
      </c>
      <c r="J515" t="s">
        <v>50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T515" t="s">
        <v>43</v>
      </c>
      <c r="U515" t="str">
        <f t="shared" si="30"/>
        <v/>
      </c>
      <c r="V515" t="str">
        <f t="shared" si="31"/>
        <v/>
      </c>
    </row>
    <row r="516" spans="1:22" x14ac:dyDescent="0.2">
      <c r="A516" t="s">
        <v>1060</v>
      </c>
      <c r="B516" t="s">
        <v>999</v>
      </c>
      <c r="C516" t="s">
        <v>1044</v>
      </c>
      <c r="D516" t="s">
        <v>160</v>
      </c>
      <c r="E516" s="15" t="s">
        <v>1061</v>
      </c>
      <c r="F516" t="s">
        <v>38</v>
      </c>
      <c r="G516" t="s">
        <v>30</v>
      </c>
      <c r="H516" t="s">
        <v>31</v>
      </c>
      <c r="I516" t="str">
        <f t="shared" si="34"/>
        <v>UFDB</v>
      </c>
      <c r="J516" t="s">
        <v>1062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</v>
      </c>
      <c r="T516" t="s">
        <v>43</v>
      </c>
      <c r="U516" t="str">
        <f t="shared" si="30"/>
        <v/>
      </c>
      <c r="V516" t="str">
        <f t="shared" si="31"/>
        <v/>
      </c>
    </row>
    <row r="517" spans="1:22" x14ac:dyDescent="0.2">
      <c r="A517" t="s">
        <v>1063</v>
      </c>
      <c r="B517" t="s">
        <v>80</v>
      </c>
      <c r="C517" t="s">
        <v>1064</v>
      </c>
      <c r="D517" t="s">
        <v>1065</v>
      </c>
      <c r="E517" s="15"/>
      <c r="F517" t="s">
        <v>38</v>
      </c>
      <c r="G517" t="s">
        <v>30</v>
      </c>
      <c r="H517" t="s">
        <v>31</v>
      </c>
      <c r="I517" t="str">
        <f t="shared" si="34"/>
        <v>UFDB</v>
      </c>
      <c r="J517" t="s">
        <v>58</v>
      </c>
      <c r="K517" t="s">
        <v>33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</v>
      </c>
      <c r="R517" t="s">
        <v>33</v>
      </c>
      <c r="T517" t="s">
        <v>43</v>
      </c>
      <c r="U517" t="str">
        <f t="shared" si="30"/>
        <v/>
      </c>
      <c r="V517" t="str">
        <f t="shared" si="31"/>
        <v/>
      </c>
    </row>
    <row r="518" spans="1:22" x14ac:dyDescent="0.2">
      <c r="A518" t="s">
        <v>1066</v>
      </c>
      <c r="B518" t="s">
        <v>1069</v>
      </c>
      <c r="C518" t="s">
        <v>26</v>
      </c>
      <c r="D518" t="s">
        <v>27</v>
      </c>
      <c r="E518" s="15" t="s">
        <v>1067</v>
      </c>
      <c r="F518" t="s">
        <v>38</v>
      </c>
      <c r="G518" t="s">
        <v>30</v>
      </c>
      <c r="H518" t="s">
        <v>31</v>
      </c>
      <c r="I518" t="str">
        <f t="shared" si="34"/>
        <v>UFDB</v>
      </c>
      <c r="J518" t="s">
        <v>63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33</v>
      </c>
      <c r="T518" t="s">
        <v>43</v>
      </c>
      <c r="U518" t="str">
        <f t="shared" si="30"/>
        <v/>
      </c>
      <c r="V518" t="str">
        <f t="shared" si="31"/>
        <v/>
      </c>
    </row>
    <row r="519" spans="1:22" x14ac:dyDescent="0.2">
      <c r="A519" t="s">
        <v>1068</v>
      </c>
      <c r="B519" t="s">
        <v>1069</v>
      </c>
      <c r="C519" t="s">
        <v>363</v>
      </c>
      <c r="D519" t="s">
        <v>364</v>
      </c>
      <c r="E519" s="15"/>
      <c r="F519" t="s">
        <v>38</v>
      </c>
      <c r="G519" t="s">
        <v>30</v>
      </c>
      <c r="H519" t="s">
        <v>31</v>
      </c>
      <c r="I519" t="str">
        <f t="shared" si="34"/>
        <v>UFDB</v>
      </c>
      <c r="J519" t="s">
        <v>67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</v>
      </c>
      <c r="T519" t="s">
        <v>43</v>
      </c>
      <c r="U519" t="str">
        <f t="shared" si="30"/>
        <v/>
      </c>
      <c r="V519" t="str">
        <f t="shared" si="31"/>
        <v/>
      </c>
    </row>
    <row r="520" spans="1:22" x14ac:dyDescent="0.2">
      <c r="A520" t="s">
        <v>1070</v>
      </c>
      <c r="B520" t="s">
        <v>364</v>
      </c>
      <c r="C520" t="s">
        <v>366</v>
      </c>
      <c r="D520" t="s">
        <v>367</v>
      </c>
      <c r="E520" s="15" t="s">
        <v>1071</v>
      </c>
      <c r="F520" t="s">
        <v>38</v>
      </c>
      <c r="G520" t="s">
        <v>30</v>
      </c>
      <c r="H520" t="s">
        <v>31</v>
      </c>
      <c r="I520" t="str">
        <f t="shared" si="34"/>
        <v>UFDB</v>
      </c>
      <c r="J520" t="s">
        <v>71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T520" t="s">
        <v>43</v>
      </c>
      <c r="U520" t="str">
        <f t="shared" si="30"/>
        <v/>
      </c>
      <c r="V520" t="str">
        <f t="shared" si="31"/>
        <v/>
      </c>
    </row>
    <row r="521" spans="1:22" x14ac:dyDescent="0.2">
      <c r="A521" t="s">
        <v>1072</v>
      </c>
      <c r="B521" t="s">
        <v>364</v>
      </c>
      <c r="C521" t="s">
        <v>370</v>
      </c>
      <c r="D521" t="s">
        <v>225</v>
      </c>
      <c r="E521" s="15"/>
      <c r="F521" t="s">
        <v>38</v>
      </c>
      <c r="G521" t="s">
        <v>30</v>
      </c>
      <c r="H521" t="s">
        <v>31</v>
      </c>
      <c r="I521" t="str">
        <f t="shared" si="34"/>
        <v>UFDB</v>
      </c>
      <c r="J521" t="s">
        <v>75</v>
      </c>
      <c r="K521" t="s">
        <v>33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33</v>
      </c>
      <c r="T521" t="s">
        <v>43</v>
      </c>
      <c r="U521" t="str">
        <f t="shared" si="30"/>
        <v/>
      </c>
      <c r="V521" t="str">
        <f t="shared" si="31"/>
        <v/>
      </c>
    </row>
    <row r="522" spans="1:22" x14ac:dyDescent="0.2">
      <c r="A522" t="s">
        <v>1073</v>
      </c>
      <c r="B522" t="s">
        <v>225</v>
      </c>
      <c r="C522" t="s">
        <v>228</v>
      </c>
      <c r="D522" t="s">
        <v>229</v>
      </c>
      <c r="E522" s="15" t="s">
        <v>1074</v>
      </c>
      <c r="F522" t="s">
        <v>38</v>
      </c>
      <c r="G522" t="s">
        <v>30</v>
      </c>
      <c r="H522" t="s">
        <v>31</v>
      </c>
      <c r="I522" t="str">
        <f t="shared" si="34"/>
        <v>UFDB</v>
      </c>
      <c r="J522" t="s">
        <v>78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</v>
      </c>
      <c r="T522" t="s">
        <v>43</v>
      </c>
      <c r="U522" t="str">
        <f t="shared" si="30"/>
        <v/>
      </c>
      <c r="V522" t="str">
        <f t="shared" si="31"/>
        <v/>
      </c>
    </row>
    <row r="523" spans="1:22" x14ac:dyDescent="0.2">
      <c r="A523" t="s">
        <v>1075</v>
      </c>
      <c r="B523" t="s">
        <v>225</v>
      </c>
      <c r="C523" t="s">
        <v>233</v>
      </c>
      <c r="D523" t="s">
        <v>234</v>
      </c>
      <c r="E523" s="15" t="s">
        <v>374</v>
      </c>
      <c r="F523" t="s">
        <v>38</v>
      </c>
      <c r="G523" t="s">
        <v>30</v>
      </c>
      <c r="H523" t="s">
        <v>31</v>
      </c>
      <c r="K523" t="s">
        <v>43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43</v>
      </c>
      <c r="T523" t="s">
        <v>43</v>
      </c>
      <c r="U523" t="str">
        <f t="shared" si="30"/>
        <v/>
      </c>
      <c r="V523" t="str">
        <f t="shared" si="31"/>
        <v/>
      </c>
    </row>
    <row r="524" spans="1:22" x14ac:dyDescent="0.2">
      <c r="A524" t="s">
        <v>1076</v>
      </c>
      <c r="B524" t="s">
        <v>364</v>
      </c>
      <c r="C524" t="s">
        <v>370</v>
      </c>
      <c r="D524" t="s">
        <v>225</v>
      </c>
      <c r="E524" s="15"/>
      <c r="F524" t="s">
        <v>38</v>
      </c>
      <c r="G524" t="s">
        <v>30</v>
      </c>
      <c r="H524" t="s">
        <v>31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T524" t="s">
        <v>43</v>
      </c>
      <c r="U524" t="str">
        <f t="shared" si="30"/>
        <v/>
      </c>
      <c r="V524" t="str">
        <f t="shared" si="31"/>
        <v/>
      </c>
    </row>
    <row r="525" spans="1:22" x14ac:dyDescent="0.2">
      <c r="A525" t="s">
        <v>1077</v>
      </c>
      <c r="B525" t="s">
        <v>225</v>
      </c>
      <c r="C525" t="s">
        <v>228</v>
      </c>
      <c r="D525" t="s">
        <v>229</v>
      </c>
      <c r="E525" s="15" t="s">
        <v>1078</v>
      </c>
      <c r="F525" t="s">
        <v>38</v>
      </c>
      <c r="G525" t="s">
        <v>30</v>
      </c>
      <c r="H525" t="s">
        <v>31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T525" t="s">
        <v>43</v>
      </c>
      <c r="U525" t="str">
        <f t="shared" si="30"/>
        <v/>
      </c>
      <c r="V525" t="str">
        <f t="shared" si="31"/>
        <v/>
      </c>
    </row>
    <row r="526" spans="1:22" x14ac:dyDescent="0.2">
      <c r="A526" t="s">
        <v>1079</v>
      </c>
      <c r="B526" t="s">
        <v>225</v>
      </c>
      <c r="C526" t="s">
        <v>233</v>
      </c>
      <c r="D526" t="s">
        <v>234</v>
      </c>
      <c r="E526" s="15" t="s">
        <v>380</v>
      </c>
      <c r="F526" t="s">
        <v>38</v>
      </c>
      <c r="G526" t="s">
        <v>30</v>
      </c>
      <c r="H526" t="s">
        <v>31</v>
      </c>
      <c r="K526" t="s">
        <v>43</v>
      </c>
      <c r="L526" t="s">
        <v>43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43</v>
      </c>
      <c r="T526" t="s">
        <v>43</v>
      </c>
      <c r="U526" t="str">
        <f t="shared" si="30"/>
        <v/>
      </c>
      <c r="V526" t="str">
        <f t="shared" si="31"/>
        <v/>
      </c>
    </row>
    <row r="527" spans="1:22" x14ac:dyDescent="0.2">
      <c r="A527" t="s">
        <v>1080</v>
      </c>
      <c r="B527" t="s">
        <v>364</v>
      </c>
      <c r="C527" t="s">
        <v>385</v>
      </c>
      <c r="D527" t="s">
        <v>367</v>
      </c>
      <c r="E527" s="15" t="s">
        <v>1081</v>
      </c>
      <c r="F527" t="s">
        <v>38</v>
      </c>
      <c r="G527" t="s">
        <v>30</v>
      </c>
      <c r="H527" t="s">
        <v>31</v>
      </c>
      <c r="K527" t="s">
        <v>43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43</v>
      </c>
      <c r="T527" t="s">
        <v>43</v>
      </c>
      <c r="U527" t="str">
        <f t="shared" si="30"/>
        <v/>
      </c>
      <c r="V527" t="str">
        <f t="shared" si="31"/>
        <v/>
      </c>
    </row>
    <row r="528" spans="1:22" x14ac:dyDescent="0.2">
      <c r="A528" t="s">
        <v>1082</v>
      </c>
      <c r="B528" t="s">
        <v>364</v>
      </c>
      <c r="C528" t="s">
        <v>382</v>
      </c>
      <c r="D528" t="s">
        <v>143</v>
      </c>
      <c r="E528" s="15" t="s">
        <v>1083</v>
      </c>
      <c r="F528" t="s">
        <v>38</v>
      </c>
      <c r="G528" t="s">
        <v>30</v>
      </c>
      <c r="H528" t="s">
        <v>31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T528" t="s">
        <v>43</v>
      </c>
      <c r="U528" t="str">
        <f t="shared" si="30"/>
        <v/>
      </c>
      <c r="V528" t="str">
        <f t="shared" si="31"/>
        <v/>
      </c>
    </row>
    <row r="529" spans="1:22" x14ac:dyDescent="0.2">
      <c r="A529" t="s">
        <v>1084</v>
      </c>
      <c r="B529" t="s">
        <v>1069</v>
      </c>
      <c r="C529" t="s">
        <v>1085</v>
      </c>
      <c r="D529" t="s">
        <v>1086</v>
      </c>
      <c r="E529" s="15"/>
      <c r="F529" t="s">
        <v>38</v>
      </c>
      <c r="G529" t="s">
        <v>30</v>
      </c>
      <c r="H529" t="s">
        <v>31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T529" t="s">
        <v>43</v>
      </c>
      <c r="U529" t="str">
        <f t="shared" ref="U529:U592" si="35">IF(AND(COUNTIF($K529:$R529,"Ja")&gt;0,OR($I529="",AND($I529="UFDB",$J529=""))),"Ja","")</f>
        <v/>
      </c>
      <c r="V529" t="str">
        <f t="shared" ref="V529:V592" si="36">IF(AND(COUNTIF($K529:$R529,"Ja")=0,$I529&lt;&gt;""),"Ja","")</f>
        <v/>
      </c>
    </row>
    <row r="530" spans="1:22" x14ac:dyDescent="0.2">
      <c r="A530" t="s">
        <v>1087</v>
      </c>
      <c r="B530" t="s">
        <v>1086</v>
      </c>
      <c r="C530" t="s">
        <v>353</v>
      </c>
      <c r="D530" t="s">
        <v>1088</v>
      </c>
      <c r="E530" s="15"/>
      <c r="F530" t="s">
        <v>38</v>
      </c>
      <c r="G530" t="s">
        <v>30</v>
      </c>
      <c r="H530" t="s">
        <v>31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T530" t="s">
        <v>43</v>
      </c>
      <c r="U530" t="str">
        <f t="shared" si="35"/>
        <v/>
      </c>
      <c r="V530" t="str">
        <f t="shared" si="36"/>
        <v/>
      </c>
    </row>
    <row r="531" spans="1:22" x14ac:dyDescent="0.2">
      <c r="A531" t="s">
        <v>1089</v>
      </c>
      <c r="B531" t="s">
        <v>1088</v>
      </c>
      <c r="C531" t="s">
        <v>366</v>
      </c>
      <c r="D531" t="s">
        <v>367</v>
      </c>
      <c r="E531" s="15" t="s">
        <v>1090</v>
      </c>
      <c r="F531" t="s">
        <v>38</v>
      </c>
      <c r="G531" t="s">
        <v>30</v>
      </c>
      <c r="H531" t="s">
        <v>31</v>
      </c>
      <c r="I531" t="str">
        <f>IF(J531&lt;&gt;"","UFDB","")</f>
        <v>UFDB</v>
      </c>
      <c r="J531" t="s">
        <v>99</v>
      </c>
      <c r="K531" t="s">
        <v>33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33</v>
      </c>
      <c r="T531" t="s">
        <v>43</v>
      </c>
      <c r="U531" t="str">
        <f t="shared" si="35"/>
        <v/>
      </c>
      <c r="V531" t="str">
        <f t="shared" si="36"/>
        <v/>
      </c>
    </row>
    <row r="532" spans="1:22" x14ac:dyDescent="0.2">
      <c r="A532" t="s">
        <v>1091</v>
      </c>
      <c r="B532" t="s">
        <v>1088</v>
      </c>
      <c r="C532" t="s">
        <v>385</v>
      </c>
      <c r="D532" t="s">
        <v>367</v>
      </c>
      <c r="E532" s="15" t="s">
        <v>1092</v>
      </c>
      <c r="F532" t="s">
        <v>38</v>
      </c>
      <c r="G532" t="s">
        <v>30</v>
      </c>
      <c r="H532" t="s">
        <v>31</v>
      </c>
      <c r="I532" t="str">
        <f>IF(J532&lt;&gt;"","UFDB","")</f>
        <v>UFDB</v>
      </c>
      <c r="J532" t="s">
        <v>102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t="s">
        <v>33</v>
      </c>
      <c r="R532" t="s">
        <v>33</v>
      </c>
      <c r="T532" t="s">
        <v>43</v>
      </c>
      <c r="U532" t="str">
        <f t="shared" si="35"/>
        <v/>
      </c>
      <c r="V532" t="str">
        <f t="shared" si="36"/>
        <v/>
      </c>
    </row>
    <row r="533" spans="1:22" x14ac:dyDescent="0.2">
      <c r="A533" t="s">
        <v>1093</v>
      </c>
      <c r="B533" t="s">
        <v>1086</v>
      </c>
      <c r="C533" t="s">
        <v>542</v>
      </c>
      <c r="D533" t="s">
        <v>1088</v>
      </c>
      <c r="E533" s="15"/>
      <c r="F533" t="s">
        <v>38</v>
      </c>
      <c r="G533" t="s">
        <v>30</v>
      </c>
      <c r="H533" t="s">
        <v>31</v>
      </c>
      <c r="I533" t="str">
        <f>IF(J533&lt;&gt;"","UFDB","")</f>
        <v>UFDB</v>
      </c>
      <c r="J533" t="s">
        <v>105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33</v>
      </c>
      <c r="T533" t="s">
        <v>43</v>
      </c>
      <c r="U533" t="str">
        <f t="shared" si="35"/>
        <v/>
      </c>
      <c r="V533" t="str">
        <f t="shared" si="36"/>
        <v/>
      </c>
    </row>
    <row r="534" spans="1:22" x14ac:dyDescent="0.2">
      <c r="A534" t="s">
        <v>1094</v>
      </c>
      <c r="B534" t="s">
        <v>1088</v>
      </c>
      <c r="C534" t="s">
        <v>366</v>
      </c>
      <c r="D534" t="s">
        <v>367</v>
      </c>
      <c r="E534" s="15" t="s">
        <v>1090</v>
      </c>
      <c r="F534" t="s">
        <v>38</v>
      </c>
      <c r="G534" t="s">
        <v>30</v>
      </c>
      <c r="H534" t="s">
        <v>31</v>
      </c>
      <c r="I534" t="str">
        <f>IF(J534&lt;&gt;"","UFDB","")</f>
        <v>UFDB</v>
      </c>
      <c r="J534" t="s">
        <v>108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T534" t="s">
        <v>43</v>
      </c>
      <c r="U534" t="str">
        <f t="shared" si="35"/>
        <v/>
      </c>
      <c r="V534" t="str">
        <f t="shared" si="36"/>
        <v/>
      </c>
    </row>
    <row r="535" spans="1:22" x14ac:dyDescent="0.2">
      <c r="A535" t="s">
        <v>1095</v>
      </c>
      <c r="B535" t="s">
        <v>1088</v>
      </c>
      <c r="C535" t="s">
        <v>385</v>
      </c>
      <c r="D535" t="s">
        <v>367</v>
      </c>
      <c r="E535" s="15" t="s">
        <v>1092</v>
      </c>
      <c r="F535" t="s">
        <v>38</v>
      </c>
      <c r="G535" t="s">
        <v>30</v>
      </c>
      <c r="H535" t="s">
        <v>31</v>
      </c>
      <c r="I535" t="s">
        <v>111</v>
      </c>
      <c r="J535" t="s">
        <v>112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33</v>
      </c>
      <c r="T535" t="s">
        <v>43</v>
      </c>
      <c r="U535" t="str">
        <f t="shared" si="35"/>
        <v/>
      </c>
      <c r="V535" t="str">
        <f t="shared" si="36"/>
        <v/>
      </c>
    </row>
    <row r="536" spans="1:22" x14ac:dyDescent="0.2">
      <c r="A536" t="s">
        <v>1096</v>
      </c>
      <c r="B536" t="s">
        <v>1086</v>
      </c>
      <c r="C536" t="s">
        <v>632</v>
      </c>
      <c r="D536" t="s">
        <v>1088</v>
      </c>
      <c r="E536" s="15"/>
      <c r="F536" t="s">
        <v>38</v>
      </c>
      <c r="G536" t="s">
        <v>30</v>
      </c>
      <c r="H536" t="s">
        <v>31</v>
      </c>
      <c r="I536" t="s">
        <v>111</v>
      </c>
      <c r="J536" t="s">
        <v>115</v>
      </c>
      <c r="K536" t="s">
        <v>33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33</v>
      </c>
      <c r="R536" t="s">
        <v>33</v>
      </c>
      <c r="T536" t="s">
        <v>43</v>
      </c>
      <c r="U536" t="str">
        <f t="shared" si="35"/>
        <v/>
      </c>
      <c r="V536" t="str">
        <f t="shared" si="36"/>
        <v/>
      </c>
    </row>
    <row r="537" spans="1:22" x14ac:dyDescent="0.2">
      <c r="A537" t="s">
        <v>1097</v>
      </c>
      <c r="B537" t="s">
        <v>1088</v>
      </c>
      <c r="C537" t="s">
        <v>366</v>
      </c>
      <c r="D537" t="s">
        <v>367</v>
      </c>
      <c r="E537" s="15" t="s">
        <v>1090</v>
      </c>
      <c r="F537" t="s">
        <v>38</v>
      </c>
      <c r="G537" t="s">
        <v>30</v>
      </c>
      <c r="H537" t="s">
        <v>31</v>
      </c>
      <c r="I537" t="str">
        <f t="shared" ref="I537:I542" si="37">IF(J537&lt;&gt;"","UFDB","")</f>
        <v>UFDB</v>
      </c>
      <c r="J537" t="s">
        <v>1098</v>
      </c>
      <c r="K537" t="s">
        <v>43</v>
      </c>
      <c r="L537" t="s">
        <v>43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43</v>
      </c>
      <c r="T537" t="s">
        <v>43</v>
      </c>
      <c r="U537" t="str">
        <f t="shared" si="35"/>
        <v/>
      </c>
      <c r="V537" t="str">
        <f t="shared" si="36"/>
        <v>Ja</v>
      </c>
    </row>
    <row r="538" spans="1:22" x14ac:dyDescent="0.2">
      <c r="A538" t="s">
        <v>1099</v>
      </c>
      <c r="B538" t="s">
        <v>1088</v>
      </c>
      <c r="C538" t="s">
        <v>385</v>
      </c>
      <c r="D538" t="s">
        <v>367</v>
      </c>
      <c r="E538" s="15" t="s">
        <v>1092</v>
      </c>
      <c r="F538" t="s">
        <v>38</v>
      </c>
      <c r="G538" t="s">
        <v>30</v>
      </c>
      <c r="H538" t="s">
        <v>31</v>
      </c>
      <c r="I538" t="str">
        <f t="shared" si="37"/>
        <v>UFDB</v>
      </c>
      <c r="J538" t="s">
        <v>122</v>
      </c>
      <c r="K538" t="s">
        <v>33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33</v>
      </c>
      <c r="T538" t="s">
        <v>43</v>
      </c>
      <c r="U538" t="str">
        <f t="shared" si="35"/>
        <v/>
      </c>
      <c r="V538" t="str">
        <f t="shared" si="36"/>
        <v/>
      </c>
    </row>
    <row r="539" spans="1:22" x14ac:dyDescent="0.2">
      <c r="A539" t="s">
        <v>1100</v>
      </c>
      <c r="B539" t="s">
        <v>1086</v>
      </c>
      <c r="C539" t="s">
        <v>717</v>
      </c>
      <c r="D539" t="s">
        <v>1088</v>
      </c>
      <c r="E539" s="15"/>
      <c r="F539" t="s">
        <v>38</v>
      </c>
      <c r="G539" t="s">
        <v>30</v>
      </c>
      <c r="H539" t="s">
        <v>31</v>
      </c>
      <c r="I539" t="str">
        <f t="shared" si="37"/>
        <v>UFDB</v>
      </c>
      <c r="J539" t="s">
        <v>127</v>
      </c>
      <c r="K539" t="s">
        <v>33</v>
      </c>
      <c r="L539" t="s">
        <v>43</v>
      </c>
      <c r="M539" t="s">
        <v>33</v>
      </c>
      <c r="N539" t="s">
        <v>43</v>
      </c>
      <c r="O539" t="s">
        <v>33</v>
      </c>
      <c r="P539" t="s">
        <v>43</v>
      </c>
      <c r="Q539" t="s">
        <v>33</v>
      </c>
      <c r="R539" t="s">
        <v>43</v>
      </c>
      <c r="T539" t="s">
        <v>43</v>
      </c>
      <c r="U539" t="str">
        <f t="shared" si="35"/>
        <v/>
      </c>
      <c r="V539" t="str">
        <f t="shared" si="36"/>
        <v/>
      </c>
    </row>
    <row r="540" spans="1:22" x14ac:dyDescent="0.2">
      <c r="A540" t="s">
        <v>1101</v>
      </c>
      <c r="B540" t="s">
        <v>1088</v>
      </c>
      <c r="C540" t="s">
        <v>366</v>
      </c>
      <c r="D540" t="s">
        <v>367</v>
      </c>
      <c r="E540" s="15" t="s">
        <v>1090</v>
      </c>
      <c r="F540" t="s">
        <v>38</v>
      </c>
      <c r="G540" t="s">
        <v>30</v>
      </c>
      <c r="H540" t="s">
        <v>31</v>
      </c>
      <c r="I540" t="str">
        <f t="shared" si="37"/>
        <v>UFDB</v>
      </c>
      <c r="J540" t="s">
        <v>131</v>
      </c>
      <c r="K540" t="s">
        <v>33</v>
      </c>
      <c r="L540" t="s">
        <v>43</v>
      </c>
      <c r="M540" t="s">
        <v>33</v>
      </c>
      <c r="N540" t="s">
        <v>43</v>
      </c>
      <c r="O540" t="s">
        <v>33</v>
      </c>
      <c r="P540" t="s">
        <v>43</v>
      </c>
      <c r="Q540" t="s">
        <v>33</v>
      </c>
      <c r="R540" t="s">
        <v>43</v>
      </c>
      <c r="T540" t="s">
        <v>43</v>
      </c>
      <c r="U540" t="str">
        <f t="shared" si="35"/>
        <v/>
      </c>
      <c r="V540" t="str">
        <f t="shared" si="36"/>
        <v/>
      </c>
    </row>
    <row r="541" spans="1:22" x14ac:dyDescent="0.2">
      <c r="A541" t="s">
        <v>1102</v>
      </c>
      <c r="B541" t="s">
        <v>1088</v>
      </c>
      <c r="C541" t="s">
        <v>385</v>
      </c>
      <c r="D541" t="s">
        <v>367</v>
      </c>
      <c r="E541" s="15" t="s">
        <v>1092</v>
      </c>
      <c r="F541" t="s">
        <v>38</v>
      </c>
      <c r="G541" t="s">
        <v>30</v>
      </c>
      <c r="H541" t="s">
        <v>31</v>
      </c>
      <c r="I541" t="str">
        <f t="shared" si="37"/>
        <v>UFDB</v>
      </c>
      <c r="J541" t="s">
        <v>135</v>
      </c>
      <c r="K541" t="s">
        <v>33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T541" t="s">
        <v>43</v>
      </c>
      <c r="U541" t="str">
        <f t="shared" si="35"/>
        <v/>
      </c>
      <c r="V541" t="str">
        <f t="shared" si="36"/>
        <v/>
      </c>
    </row>
    <row r="542" spans="1:22" x14ac:dyDescent="0.2">
      <c r="A542" t="s">
        <v>1103</v>
      </c>
      <c r="B542" t="s">
        <v>1086</v>
      </c>
      <c r="C542" t="s">
        <v>833</v>
      </c>
      <c r="D542" t="s">
        <v>1088</v>
      </c>
      <c r="E542" s="15"/>
      <c r="F542" t="s">
        <v>38</v>
      </c>
      <c r="G542" t="s">
        <v>139</v>
      </c>
      <c r="H542" t="s">
        <v>31</v>
      </c>
      <c r="I542" t="str">
        <f t="shared" si="37"/>
        <v>UFDB</v>
      </c>
      <c r="J542" t="s">
        <v>140</v>
      </c>
      <c r="K542" t="s">
        <v>33</v>
      </c>
      <c r="L542" t="s">
        <v>43</v>
      </c>
      <c r="M542" t="s">
        <v>33</v>
      </c>
      <c r="N542" t="s">
        <v>43</v>
      </c>
      <c r="O542" t="s">
        <v>33</v>
      </c>
      <c r="P542" t="s">
        <v>43</v>
      </c>
      <c r="Q542" t="s">
        <v>33</v>
      </c>
      <c r="R542" t="s">
        <v>43</v>
      </c>
      <c r="T542" t="s">
        <v>43</v>
      </c>
      <c r="U542" t="str">
        <f t="shared" si="35"/>
        <v/>
      </c>
      <c r="V542" t="str">
        <f t="shared" si="36"/>
        <v/>
      </c>
    </row>
    <row r="543" spans="1:22" x14ac:dyDescent="0.2">
      <c r="A543" t="s">
        <v>1104</v>
      </c>
      <c r="B543" t="s">
        <v>1088</v>
      </c>
      <c r="C543" t="s">
        <v>366</v>
      </c>
      <c r="D543" t="s">
        <v>367</v>
      </c>
      <c r="E543" s="15" t="s">
        <v>1090</v>
      </c>
      <c r="F543" t="s">
        <v>38</v>
      </c>
      <c r="G543" t="s">
        <v>139</v>
      </c>
      <c r="H543" t="s">
        <v>31</v>
      </c>
      <c r="I543" t="s">
        <v>111</v>
      </c>
      <c r="J543" t="s">
        <v>145</v>
      </c>
      <c r="K543" t="s">
        <v>43</v>
      </c>
      <c r="L543" t="s">
        <v>43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43</v>
      </c>
      <c r="T543" t="s">
        <v>43</v>
      </c>
      <c r="U543" t="str">
        <f t="shared" si="35"/>
        <v/>
      </c>
      <c r="V543" t="str">
        <f t="shared" si="36"/>
        <v>Ja</v>
      </c>
    </row>
    <row r="544" spans="1:22" x14ac:dyDescent="0.2">
      <c r="A544" t="s">
        <v>1105</v>
      </c>
      <c r="B544" t="s">
        <v>1088</v>
      </c>
      <c r="C544" t="s">
        <v>385</v>
      </c>
      <c r="D544" t="s">
        <v>367</v>
      </c>
      <c r="E544" s="15" t="s">
        <v>1092</v>
      </c>
      <c r="F544" t="s">
        <v>38</v>
      </c>
      <c r="G544" t="s">
        <v>139</v>
      </c>
      <c r="H544" t="s">
        <v>31</v>
      </c>
      <c r="I544" t="str">
        <f t="shared" ref="I544:I578" si="38">IF(J544&lt;&gt;"","UFDB","")</f>
        <v>UFDB</v>
      </c>
      <c r="J544" t="s">
        <v>149</v>
      </c>
      <c r="K544" t="s">
        <v>33</v>
      </c>
      <c r="L544" t="s">
        <v>43</v>
      </c>
      <c r="M544" t="s">
        <v>33</v>
      </c>
      <c r="N544" t="s">
        <v>43</v>
      </c>
      <c r="O544" t="s">
        <v>33</v>
      </c>
      <c r="P544" t="s">
        <v>43</v>
      </c>
      <c r="Q544" t="s">
        <v>33</v>
      </c>
      <c r="R544" t="s">
        <v>43</v>
      </c>
      <c r="T544" t="s">
        <v>43</v>
      </c>
      <c r="U544" t="str">
        <f t="shared" si="35"/>
        <v/>
      </c>
      <c r="V544" t="str">
        <f t="shared" si="36"/>
        <v/>
      </c>
    </row>
    <row r="545" spans="1:22" x14ac:dyDescent="0.2">
      <c r="A545" t="s">
        <v>1106</v>
      </c>
      <c r="B545" t="s">
        <v>1069</v>
      </c>
      <c r="C545" t="s">
        <v>1107</v>
      </c>
      <c r="D545" t="s">
        <v>1086</v>
      </c>
      <c r="E545" s="15"/>
      <c r="F545" t="s">
        <v>38</v>
      </c>
      <c r="G545" t="s">
        <v>30</v>
      </c>
      <c r="H545" t="s">
        <v>31</v>
      </c>
      <c r="I545" t="str">
        <f t="shared" si="38"/>
        <v>UFDB</v>
      </c>
      <c r="J545" t="s">
        <v>153</v>
      </c>
      <c r="K545" t="s">
        <v>33</v>
      </c>
      <c r="L545" t="s">
        <v>43</v>
      </c>
      <c r="M545" t="s">
        <v>33</v>
      </c>
      <c r="N545" t="s">
        <v>43</v>
      </c>
      <c r="O545" t="s">
        <v>33</v>
      </c>
      <c r="P545" t="s">
        <v>43</v>
      </c>
      <c r="Q545" t="s">
        <v>33</v>
      </c>
      <c r="R545" t="s">
        <v>43</v>
      </c>
      <c r="T545" t="s">
        <v>43</v>
      </c>
      <c r="U545" t="str">
        <f t="shared" si="35"/>
        <v/>
      </c>
      <c r="V545" t="str">
        <f t="shared" si="36"/>
        <v/>
      </c>
    </row>
    <row r="546" spans="1:22" x14ac:dyDescent="0.2">
      <c r="A546" t="s">
        <v>1108</v>
      </c>
      <c r="B546" t="s">
        <v>1086</v>
      </c>
      <c r="C546" t="s">
        <v>353</v>
      </c>
      <c r="D546" t="s">
        <v>1088</v>
      </c>
      <c r="E546" s="15"/>
      <c r="F546" t="s">
        <v>38</v>
      </c>
      <c r="G546" t="s">
        <v>30</v>
      </c>
      <c r="H546" t="s">
        <v>31</v>
      </c>
      <c r="I546" t="str">
        <f t="shared" si="38"/>
        <v>UFDB</v>
      </c>
      <c r="J546" t="s">
        <v>1109</v>
      </c>
      <c r="K546" t="s">
        <v>33</v>
      </c>
      <c r="L546" t="s">
        <v>43</v>
      </c>
      <c r="M546" t="s">
        <v>33</v>
      </c>
      <c r="N546" t="s">
        <v>43</v>
      </c>
      <c r="O546" t="s">
        <v>33</v>
      </c>
      <c r="P546" t="s">
        <v>43</v>
      </c>
      <c r="Q546" t="s">
        <v>33</v>
      </c>
      <c r="R546" t="s">
        <v>43</v>
      </c>
      <c r="T546" t="s">
        <v>43</v>
      </c>
      <c r="U546" t="str">
        <f t="shared" si="35"/>
        <v/>
      </c>
      <c r="V546" t="str">
        <f t="shared" si="36"/>
        <v/>
      </c>
    </row>
    <row r="547" spans="1:22" x14ac:dyDescent="0.2">
      <c r="A547" t="s">
        <v>1110</v>
      </c>
      <c r="B547" t="s">
        <v>1088</v>
      </c>
      <c r="C547" t="s">
        <v>366</v>
      </c>
      <c r="D547" t="s">
        <v>367</v>
      </c>
      <c r="E547" s="15" t="s">
        <v>1111</v>
      </c>
      <c r="F547" t="s">
        <v>38</v>
      </c>
      <c r="G547" t="s">
        <v>30</v>
      </c>
      <c r="H547" t="s">
        <v>31</v>
      </c>
      <c r="I547" t="str">
        <f t="shared" si="38"/>
        <v>UFDB</v>
      </c>
      <c r="J547" t="s">
        <v>162</v>
      </c>
      <c r="K547" t="s">
        <v>33</v>
      </c>
      <c r="L547" t="s">
        <v>43</v>
      </c>
      <c r="M547" t="s">
        <v>33</v>
      </c>
      <c r="N547" t="s">
        <v>43</v>
      </c>
      <c r="O547" t="s">
        <v>33</v>
      </c>
      <c r="P547" t="s">
        <v>43</v>
      </c>
      <c r="Q547" t="s">
        <v>33</v>
      </c>
      <c r="R547" t="s">
        <v>43</v>
      </c>
      <c r="T547" t="s">
        <v>43</v>
      </c>
      <c r="U547" t="str">
        <f t="shared" si="35"/>
        <v/>
      </c>
      <c r="V547" t="str">
        <f t="shared" si="36"/>
        <v/>
      </c>
    </row>
    <row r="548" spans="1:22" x14ac:dyDescent="0.2">
      <c r="A548" t="s">
        <v>1112</v>
      </c>
      <c r="B548" t="s">
        <v>1088</v>
      </c>
      <c r="C548" t="s">
        <v>385</v>
      </c>
      <c r="D548" t="s">
        <v>367</v>
      </c>
      <c r="E548" s="15" t="s">
        <v>1113</v>
      </c>
      <c r="F548" t="s">
        <v>38</v>
      </c>
      <c r="G548" t="s">
        <v>30</v>
      </c>
      <c r="H548" t="s">
        <v>31</v>
      </c>
      <c r="I548" t="str">
        <f t="shared" si="38"/>
        <v>UFDB</v>
      </c>
      <c r="J548" t="s">
        <v>166</v>
      </c>
      <c r="K548" t="s">
        <v>33</v>
      </c>
      <c r="L548" t="s">
        <v>43</v>
      </c>
      <c r="M548" t="s">
        <v>33</v>
      </c>
      <c r="N548" t="s">
        <v>43</v>
      </c>
      <c r="O548" t="s">
        <v>33</v>
      </c>
      <c r="P548" t="s">
        <v>43</v>
      </c>
      <c r="Q548" t="s">
        <v>33</v>
      </c>
      <c r="R548" t="s">
        <v>43</v>
      </c>
      <c r="T548" t="s">
        <v>43</v>
      </c>
      <c r="U548" t="str">
        <f t="shared" si="35"/>
        <v/>
      </c>
      <c r="V548" t="str">
        <f t="shared" si="36"/>
        <v/>
      </c>
    </row>
    <row r="549" spans="1:22" x14ac:dyDescent="0.2">
      <c r="A549" t="s">
        <v>1114</v>
      </c>
      <c r="B549" t="s">
        <v>1086</v>
      </c>
      <c r="C549" t="s">
        <v>542</v>
      </c>
      <c r="D549" t="s">
        <v>1088</v>
      </c>
      <c r="F549" t="s">
        <v>38</v>
      </c>
      <c r="G549" t="s">
        <v>30</v>
      </c>
      <c r="H549" t="s">
        <v>31</v>
      </c>
      <c r="I549" t="str">
        <f t="shared" si="38"/>
        <v>UFDB</v>
      </c>
      <c r="J549" t="s">
        <v>170</v>
      </c>
      <c r="K549" t="s">
        <v>33</v>
      </c>
      <c r="L549" t="s">
        <v>43</v>
      </c>
      <c r="M549" t="s">
        <v>33</v>
      </c>
      <c r="N549" t="s">
        <v>43</v>
      </c>
      <c r="O549" t="s">
        <v>33</v>
      </c>
      <c r="P549" t="s">
        <v>43</v>
      </c>
      <c r="Q549" t="s">
        <v>33</v>
      </c>
      <c r="R549" t="s">
        <v>43</v>
      </c>
      <c r="T549" t="s">
        <v>43</v>
      </c>
      <c r="U549" t="str">
        <f t="shared" si="35"/>
        <v/>
      </c>
      <c r="V549" t="str">
        <f t="shared" si="36"/>
        <v/>
      </c>
    </row>
    <row r="550" spans="1:22" x14ac:dyDescent="0.2">
      <c r="A550" t="s">
        <v>1115</v>
      </c>
      <c r="B550" t="s">
        <v>1088</v>
      </c>
      <c r="C550" t="s">
        <v>366</v>
      </c>
      <c r="D550" t="s">
        <v>367</v>
      </c>
      <c r="E550" t="s">
        <v>1111</v>
      </c>
      <c r="F550" t="s">
        <v>38</v>
      </c>
      <c r="G550" t="s">
        <v>30</v>
      </c>
      <c r="H550" t="s">
        <v>31</v>
      </c>
      <c r="I550" t="str">
        <f t="shared" si="38"/>
        <v>UFDB</v>
      </c>
      <c r="J550" t="s">
        <v>162</v>
      </c>
      <c r="K550" t="s">
        <v>33</v>
      </c>
      <c r="L550" t="s">
        <v>43</v>
      </c>
      <c r="M550" t="s">
        <v>33</v>
      </c>
      <c r="N550" t="s">
        <v>43</v>
      </c>
      <c r="O550" t="s">
        <v>33</v>
      </c>
      <c r="P550" t="s">
        <v>43</v>
      </c>
      <c r="Q550" t="s">
        <v>33</v>
      </c>
      <c r="R550" t="s">
        <v>43</v>
      </c>
      <c r="T550" t="s">
        <v>43</v>
      </c>
      <c r="U550" t="str">
        <f t="shared" si="35"/>
        <v/>
      </c>
      <c r="V550" t="str">
        <f t="shared" si="36"/>
        <v/>
      </c>
    </row>
    <row r="551" spans="1:22" x14ac:dyDescent="0.2">
      <c r="A551" t="s">
        <v>1116</v>
      </c>
      <c r="B551" t="s">
        <v>1088</v>
      </c>
      <c r="C551" t="s">
        <v>385</v>
      </c>
      <c r="D551" t="s">
        <v>367</v>
      </c>
      <c r="E551" s="15" t="s">
        <v>1113</v>
      </c>
      <c r="F551" t="s">
        <v>38</v>
      </c>
      <c r="G551" t="s">
        <v>30</v>
      </c>
      <c r="H551" t="s">
        <v>31</v>
      </c>
      <c r="I551" t="str">
        <f t="shared" si="38"/>
        <v>UFDB</v>
      </c>
      <c r="J551" t="s">
        <v>178</v>
      </c>
      <c r="K551" t="s">
        <v>33</v>
      </c>
      <c r="L551" t="s">
        <v>43</v>
      </c>
      <c r="M551" t="s">
        <v>33</v>
      </c>
      <c r="N551" t="s">
        <v>43</v>
      </c>
      <c r="O551" t="s">
        <v>33</v>
      </c>
      <c r="P551" t="s">
        <v>43</v>
      </c>
      <c r="Q551" t="s">
        <v>33</v>
      </c>
      <c r="R551" t="s">
        <v>43</v>
      </c>
      <c r="T551" t="s">
        <v>43</v>
      </c>
      <c r="U551" t="str">
        <f t="shared" si="35"/>
        <v/>
      </c>
      <c r="V551" t="str">
        <f t="shared" si="36"/>
        <v/>
      </c>
    </row>
    <row r="552" spans="1:22" x14ac:dyDescent="0.2">
      <c r="A552" t="s">
        <v>1117</v>
      </c>
      <c r="B552" t="s">
        <v>1086</v>
      </c>
      <c r="C552" t="s">
        <v>632</v>
      </c>
      <c r="D552" t="s">
        <v>1088</v>
      </c>
      <c r="E552" s="15"/>
      <c r="F552" t="s">
        <v>38</v>
      </c>
      <c r="G552" t="s">
        <v>30</v>
      </c>
      <c r="H552" t="s">
        <v>31</v>
      </c>
      <c r="I552" t="str">
        <f t="shared" si="38"/>
        <v>UFDB</v>
      </c>
      <c r="J552" t="s">
        <v>182</v>
      </c>
      <c r="K552" t="s">
        <v>33</v>
      </c>
      <c r="L552" t="s">
        <v>43</v>
      </c>
      <c r="M552" t="s">
        <v>33</v>
      </c>
      <c r="N552" t="s">
        <v>43</v>
      </c>
      <c r="O552" t="s">
        <v>33</v>
      </c>
      <c r="P552" t="s">
        <v>43</v>
      </c>
      <c r="Q552" t="s">
        <v>33</v>
      </c>
      <c r="R552" t="s">
        <v>43</v>
      </c>
      <c r="T552" t="s">
        <v>43</v>
      </c>
      <c r="U552" t="str">
        <f t="shared" si="35"/>
        <v/>
      </c>
      <c r="V552" t="str">
        <f t="shared" si="36"/>
        <v/>
      </c>
    </row>
    <row r="553" spans="1:22" x14ac:dyDescent="0.2">
      <c r="A553" t="s">
        <v>1118</v>
      </c>
      <c r="B553" t="s">
        <v>1088</v>
      </c>
      <c r="C553" t="s">
        <v>366</v>
      </c>
      <c r="D553" t="s">
        <v>367</v>
      </c>
      <c r="E553" s="15" t="s">
        <v>1111</v>
      </c>
      <c r="F553" t="s">
        <v>38</v>
      </c>
      <c r="G553" t="s">
        <v>30</v>
      </c>
      <c r="H553" t="s">
        <v>31</v>
      </c>
      <c r="I553" t="str">
        <f t="shared" si="38"/>
        <v>UFDB</v>
      </c>
      <c r="J553" t="s">
        <v>185</v>
      </c>
      <c r="K553" t="s">
        <v>43</v>
      </c>
      <c r="L553" t="s">
        <v>43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43</v>
      </c>
      <c r="T553" t="s">
        <v>43</v>
      </c>
      <c r="U553" t="str">
        <f t="shared" si="35"/>
        <v/>
      </c>
      <c r="V553" t="str">
        <f t="shared" si="36"/>
        <v>Ja</v>
      </c>
    </row>
    <row r="554" spans="1:22" x14ac:dyDescent="0.2">
      <c r="A554" t="s">
        <v>1119</v>
      </c>
      <c r="B554" t="s">
        <v>1088</v>
      </c>
      <c r="C554" t="s">
        <v>385</v>
      </c>
      <c r="D554" t="s">
        <v>367</v>
      </c>
      <c r="E554" t="s">
        <v>1113</v>
      </c>
      <c r="F554" t="s">
        <v>38</v>
      </c>
      <c r="G554" t="s">
        <v>30</v>
      </c>
      <c r="H554" t="s">
        <v>31</v>
      </c>
      <c r="I554" t="str">
        <f t="shared" si="38"/>
        <v>UFDB</v>
      </c>
      <c r="J554" t="s">
        <v>193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43</v>
      </c>
      <c r="T554" t="s">
        <v>43</v>
      </c>
      <c r="U554" t="str">
        <f t="shared" si="35"/>
        <v/>
      </c>
      <c r="V554" t="str">
        <f t="shared" si="36"/>
        <v>Ja</v>
      </c>
    </row>
    <row r="555" spans="1:22" x14ac:dyDescent="0.2">
      <c r="A555" t="s">
        <v>1120</v>
      </c>
      <c r="B555" t="s">
        <v>1086</v>
      </c>
      <c r="C555" t="s">
        <v>717</v>
      </c>
      <c r="D555" t="s">
        <v>1088</v>
      </c>
      <c r="E555" s="15"/>
      <c r="F555" t="s">
        <v>38</v>
      </c>
      <c r="G555" t="s">
        <v>30</v>
      </c>
      <c r="H555" t="s">
        <v>31</v>
      </c>
      <c r="I555" t="str">
        <f t="shared" si="38"/>
        <v>UFDB</v>
      </c>
      <c r="J555" t="s">
        <v>197</v>
      </c>
      <c r="K555" t="s">
        <v>33</v>
      </c>
      <c r="L555" t="s">
        <v>43</v>
      </c>
      <c r="M555" t="s">
        <v>33</v>
      </c>
      <c r="N555" t="s">
        <v>43</v>
      </c>
      <c r="O555" t="s">
        <v>33</v>
      </c>
      <c r="P555" t="s">
        <v>43</v>
      </c>
      <c r="Q555" t="s">
        <v>33</v>
      </c>
      <c r="R555" t="s">
        <v>43</v>
      </c>
      <c r="T555" t="s">
        <v>43</v>
      </c>
      <c r="U555" t="str">
        <f t="shared" si="35"/>
        <v/>
      </c>
      <c r="V555" t="str">
        <f t="shared" si="36"/>
        <v/>
      </c>
    </row>
    <row r="556" spans="1:22" x14ac:dyDescent="0.2">
      <c r="A556" t="s">
        <v>1121</v>
      </c>
      <c r="B556" t="s">
        <v>1088</v>
      </c>
      <c r="C556" t="s">
        <v>366</v>
      </c>
      <c r="D556" t="s">
        <v>367</v>
      </c>
      <c r="E556" s="15" t="s">
        <v>1111</v>
      </c>
      <c r="F556" t="s">
        <v>38</v>
      </c>
      <c r="G556" t="s">
        <v>30</v>
      </c>
      <c r="H556" t="s">
        <v>31</v>
      </c>
      <c r="I556" t="str">
        <f t="shared" si="38"/>
        <v>UFDB</v>
      </c>
      <c r="J556" t="s">
        <v>200</v>
      </c>
      <c r="K556" t="s">
        <v>33</v>
      </c>
      <c r="L556" t="s">
        <v>43</v>
      </c>
      <c r="M556" t="s">
        <v>33</v>
      </c>
      <c r="N556" t="s">
        <v>43</v>
      </c>
      <c r="O556" t="s">
        <v>33</v>
      </c>
      <c r="P556" t="s">
        <v>43</v>
      </c>
      <c r="Q556" t="s">
        <v>33</v>
      </c>
      <c r="R556" t="s">
        <v>43</v>
      </c>
      <c r="T556" t="s">
        <v>43</v>
      </c>
      <c r="U556" t="str">
        <f t="shared" si="35"/>
        <v/>
      </c>
      <c r="V556" t="str">
        <f t="shared" si="36"/>
        <v/>
      </c>
    </row>
    <row r="557" spans="1:22" x14ac:dyDescent="0.2">
      <c r="A557" t="s">
        <v>1122</v>
      </c>
      <c r="B557" t="s">
        <v>1088</v>
      </c>
      <c r="C557" t="s">
        <v>385</v>
      </c>
      <c r="D557" t="s">
        <v>367</v>
      </c>
      <c r="E557" s="15" t="s">
        <v>1113</v>
      </c>
      <c r="F557" t="s">
        <v>38</v>
      </c>
      <c r="G557" t="s">
        <v>30</v>
      </c>
      <c r="H557" t="s">
        <v>31</v>
      </c>
      <c r="I557" t="str">
        <f t="shared" si="38"/>
        <v>UFDB</v>
      </c>
      <c r="J557" t="s">
        <v>1123</v>
      </c>
      <c r="K557" t="s">
        <v>33</v>
      </c>
      <c r="L557" t="s">
        <v>43</v>
      </c>
      <c r="M557" t="s">
        <v>33</v>
      </c>
      <c r="N557" t="s">
        <v>43</v>
      </c>
      <c r="O557" t="s">
        <v>33</v>
      </c>
      <c r="P557" t="s">
        <v>43</v>
      </c>
      <c r="Q557" t="s">
        <v>33</v>
      </c>
      <c r="R557" t="s">
        <v>43</v>
      </c>
      <c r="T557" t="s">
        <v>43</v>
      </c>
      <c r="U557" t="str">
        <f t="shared" si="35"/>
        <v/>
      </c>
      <c r="V557" t="str">
        <f t="shared" si="36"/>
        <v/>
      </c>
    </row>
    <row r="558" spans="1:22" x14ac:dyDescent="0.2">
      <c r="A558" t="s">
        <v>1124</v>
      </c>
      <c r="B558" t="s">
        <v>1086</v>
      </c>
      <c r="C558" t="s">
        <v>833</v>
      </c>
      <c r="D558" t="s">
        <v>1088</v>
      </c>
      <c r="F558" t="s">
        <v>38</v>
      </c>
      <c r="G558" t="s">
        <v>30</v>
      </c>
      <c r="H558" t="s">
        <v>31</v>
      </c>
      <c r="I558" t="str">
        <f t="shared" si="38"/>
        <v>UFDB</v>
      </c>
      <c r="J558" t="s">
        <v>208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T558" t="s">
        <v>43</v>
      </c>
      <c r="U558" t="str">
        <f t="shared" si="35"/>
        <v/>
      </c>
      <c r="V558" t="str">
        <f t="shared" si="36"/>
        <v>Ja</v>
      </c>
    </row>
    <row r="559" spans="1:22" x14ac:dyDescent="0.2">
      <c r="A559" t="s">
        <v>1125</v>
      </c>
      <c r="B559" t="s">
        <v>1088</v>
      </c>
      <c r="C559" t="s">
        <v>366</v>
      </c>
      <c r="D559" t="s">
        <v>367</v>
      </c>
      <c r="E559" t="s">
        <v>1111</v>
      </c>
      <c r="F559" t="s">
        <v>38</v>
      </c>
      <c r="G559" t="s">
        <v>30</v>
      </c>
      <c r="H559" t="s">
        <v>31</v>
      </c>
      <c r="I559" t="str">
        <f t="shared" si="38"/>
        <v>UFDB</v>
      </c>
      <c r="J559" t="s">
        <v>212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T559" t="s">
        <v>43</v>
      </c>
      <c r="U559" t="str">
        <f t="shared" si="35"/>
        <v/>
      </c>
      <c r="V559" t="str">
        <f t="shared" si="36"/>
        <v>Ja</v>
      </c>
    </row>
    <row r="560" spans="1:22" x14ac:dyDescent="0.2">
      <c r="A560" t="s">
        <v>1126</v>
      </c>
      <c r="B560" t="s">
        <v>1088</v>
      </c>
      <c r="C560" t="s">
        <v>385</v>
      </c>
      <c r="D560" t="s">
        <v>367</v>
      </c>
      <c r="E560" t="s">
        <v>1113</v>
      </c>
      <c r="F560" t="s">
        <v>38</v>
      </c>
      <c r="G560" t="s">
        <v>30</v>
      </c>
      <c r="H560" t="s">
        <v>31</v>
      </c>
      <c r="I560" t="str">
        <f t="shared" si="38"/>
        <v>UFDB</v>
      </c>
      <c r="J560" t="s">
        <v>216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T560" t="s">
        <v>43</v>
      </c>
      <c r="U560" t="str">
        <f t="shared" si="35"/>
        <v/>
      </c>
      <c r="V560" t="str">
        <f t="shared" si="36"/>
        <v>Ja</v>
      </c>
    </row>
    <row r="561" spans="1:22" x14ac:dyDescent="0.2">
      <c r="A561" t="s">
        <v>1127</v>
      </c>
      <c r="B561" t="s">
        <v>1069</v>
      </c>
      <c r="C561" t="s">
        <v>385</v>
      </c>
      <c r="D561" t="s">
        <v>367</v>
      </c>
      <c r="E561" t="s">
        <v>1081</v>
      </c>
      <c r="F561" t="s">
        <v>38</v>
      </c>
      <c r="G561" t="s">
        <v>30</v>
      </c>
      <c r="H561" t="s">
        <v>31</v>
      </c>
      <c r="I561" t="str">
        <f t="shared" si="38"/>
        <v/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T561" t="s">
        <v>43</v>
      </c>
      <c r="U561" t="str">
        <f t="shared" si="35"/>
        <v/>
      </c>
      <c r="V561" t="str">
        <f t="shared" si="36"/>
        <v/>
      </c>
    </row>
    <row r="562" spans="1:22" x14ac:dyDescent="0.2">
      <c r="A562" t="s">
        <v>1128</v>
      </c>
      <c r="B562" t="s">
        <v>80</v>
      </c>
      <c r="C562" t="s">
        <v>1064</v>
      </c>
      <c r="D562" t="s">
        <v>1129</v>
      </c>
      <c r="F562" t="s">
        <v>38</v>
      </c>
      <c r="G562" t="s">
        <v>30</v>
      </c>
      <c r="H562" t="s">
        <v>31</v>
      </c>
      <c r="I562" t="str">
        <f t="shared" si="38"/>
        <v/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T562" t="s">
        <v>43</v>
      </c>
      <c r="U562" t="str">
        <f t="shared" si="35"/>
        <v/>
      </c>
      <c r="V562" t="str">
        <f t="shared" si="36"/>
        <v/>
      </c>
    </row>
    <row r="563" spans="1:22" x14ac:dyDescent="0.2">
      <c r="A563" t="s">
        <v>1130</v>
      </c>
      <c r="B563" t="s">
        <v>1069</v>
      </c>
      <c r="C563" t="s">
        <v>26</v>
      </c>
      <c r="D563" t="s">
        <v>27</v>
      </c>
      <c r="E563" s="15" t="s">
        <v>1131</v>
      </c>
      <c r="F563" t="s">
        <v>38</v>
      </c>
      <c r="G563" t="s">
        <v>30</v>
      </c>
      <c r="H563" t="s">
        <v>31</v>
      </c>
      <c r="I563" t="str">
        <f t="shared" si="38"/>
        <v>UFDB</v>
      </c>
      <c r="J563" t="s">
        <v>226</v>
      </c>
      <c r="K563" t="s">
        <v>33</v>
      </c>
      <c r="L563" t="s">
        <v>43</v>
      </c>
      <c r="M563" t="s">
        <v>33</v>
      </c>
      <c r="N563" t="s">
        <v>43</v>
      </c>
      <c r="O563" t="s">
        <v>33</v>
      </c>
      <c r="P563" t="s">
        <v>43</v>
      </c>
      <c r="Q563" t="s">
        <v>33</v>
      </c>
      <c r="R563" t="s">
        <v>43</v>
      </c>
      <c r="T563" t="s">
        <v>43</v>
      </c>
      <c r="U563" t="str">
        <f t="shared" si="35"/>
        <v/>
      </c>
      <c r="V563" t="str">
        <f t="shared" si="36"/>
        <v/>
      </c>
    </row>
    <row r="564" spans="1:22" x14ac:dyDescent="0.2">
      <c r="A564" t="s">
        <v>1132</v>
      </c>
      <c r="B564" t="s">
        <v>1069</v>
      </c>
      <c r="C564" t="s">
        <v>363</v>
      </c>
      <c r="D564" t="s">
        <v>364</v>
      </c>
      <c r="E564" s="15"/>
      <c r="F564" t="s">
        <v>38</v>
      </c>
      <c r="G564" t="s">
        <v>30</v>
      </c>
      <c r="H564" t="s">
        <v>31</v>
      </c>
      <c r="I564" t="str">
        <f t="shared" si="38"/>
        <v>UFDB</v>
      </c>
      <c r="J564" t="s">
        <v>231</v>
      </c>
      <c r="K564" t="s">
        <v>33</v>
      </c>
      <c r="L564" t="s">
        <v>43</v>
      </c>
      <c r="M564" t="s">
        <v>33</v>
      </c>
      <c r="N564" t="s">
        <v>43</v>
      </c>
      <c r="O564" t="s">
        <v>33</v>
      </c>
      <c r="P564" t="s">
        <v>43</v>
      </c>
      <c r="Q564" t="s">
        <v>33</v>
      </c>
      <c r="R564" t="s">
        <v>43</v>
      </c>
      <c r="T564" t="s">
        <v>43</v>
      </c>
      <c r="U564" t="str">
        <f t="shared" si="35"/>
        <v/>
      </c>
      <c r="V564" t="str">
        <f t="shared" si="36"/>
        <v/>
      </c>
    </row>
    <row r="565" spans="1:22" x14ac:dyDescent="0.2">
      <c r="A565" t="s">
        <v>1133</v>
      </c>
      <c r="B565" t="s">
        <v>364</v>
      </c>
      <c r="C565" t="s">
        <v>366</v>
      </c>
      <c r="D565" t="s">
        <v>367</v>
      </c>
      <c r="E565" s="15" t="s">
        <v>1134</v>
      </c>
      <c r="F565" t="s">
        <v>38</v>
      </c>
      <c r="G565" t="s">
        <v>30</v>
      </c>
      <c r="H565" t="s">
        <v>31</v>
      </c>
      <c r="I565" t="str">
        <f t="shared" si="38"/>
        <v>UFDB</v>
      </c>
      <c r="J565" t="s">
        <v>236</v>
      </c>
      <c r="K565" t="s">
        <v>33</v>
      </c>
      <c r="L565" t="s">
        <v>43</v>
      </c>
      <c r="M565" t="s">
        <v>33</v>
      </c>
      <c r="N565" t="s">
        <v>43</v>
      </c>
      <c r="O565" t="s">
        <v>33</v>
      </c>
      <c r="P565" t="s">
        <v>43</v>
      </c>
      <c r="Q565" t="s">
        <v>33</v>
      </c>
      <c r="R565" t="s">
        <v>43</v>
      </c>
      <c r="T565" t="s">
        <v>43</v>
      </c>
      <c r="U565" t="str">
        <f t="shared" si="35"/>
        <v/>
      </c>
      <c r="V565" t="str">
        <f t="shared" si="36"/>
        <v/>
      </c>
    </row>
    <row r="566" spans="1:22" x14ac:dyDescent="0.2">
      <c r="A566" t="s">
        <v>1135</v>
      </c>
      <c r="B566" t="s">
        <v>364</v>
      </c>
      <c r="C566" t="s">
        <v>370</v>
      </c>
      <c r="D566" t="s">
        <v>225</v>
      </c>
      <c r="E566" s="15"/>
      <c r="F566" t="s">
        <v>38</v>
      </c>
      <c r="G566" t="s">
        <v>30</v>
      </c>
      <c r="H566" t="s">
        <v>31</v>
      </c>
      <c r="I566" t="str">
        <f t="shared" si="38"/>
        <v>UFDB</v>
      </c>
      <c r="J566" t="s">
        <v>241</v>
      </c>
      <c r="K566" t="s">
        <v>33</v>
      </c>
      <c r="L566" t="s">
        <v>43</v>
      </c>
      <c r="M566" t="s">
        <v>33</v>
      </c>
      <c r="N566" t="s">
        <v>43</v>
      </c>
      <c r="O566" t="s">
        <v>33</v>
      </c>
      <c r="P566" t="s">
        <v>43</v>
      </c>
      <c r="Q566" t="s">
        <v>33</v>
      </c>
      <c r="R566" t="s">
        <v>43</v>
      </c>
      <c r="T566" t="s">
        <v>43</v>
      </c>
      <c r="U566" t="str">
        <f t="shared" si="35"/>
        <v/>
      </c>
      <c r="V566" t="str">
        <f t="shared" si="36"/>
        <v/>
      </c>
    </row>
    <row r="567" spans="1:22" x14ac:dyDescent="0.2">
      <c r="A567" t="s">
        <v>1136</v>
      </c>
      <c r="B567" t="s">
        <v>225</v>
      </c>
      <c r="C567" t="s">
        <v>228</v>
      </c>
      <c r="D567" t="s">
        <v>229</v>
      </c>
      <c r="E567" t="s">
        <v>1137</v>
      </c>
      <c r="F567" t="s">
        <v>38</v>
      </c>
      <c r="G567" t="s">
        <v>30</v>
      </c>
      <c r="H567" t="s">
        <v>31</v>
      </c>
      <c r="I567" t="str">
        <f t="shared" si="38"/>
        <v/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T567" t="s">
        <v>43</v>
      </c>
      <c r="U567" t="str">
        <f t="shared" si="35"/>
        <v/>
      </c>
      <c r="V567" t="str">
        <f t="shared" si="36"/>
        <v/>
      </c>
    </row>
    <row r="568" spans="1:22" x14ac:dyDescent="0.2">
      <c r="A568" t="s">
        <v>1138</v>
      </c>
      <c r="B568" t="s">
        <v>225</v>
      </c>
      <c r="C568" t="s">
        <v>233</v>
      </c>
      <c r="D568" t="s">
        <v>234</v>
      </c>
      <c r="E568" t="s">
        <v>374</v>
      </c>
      <c r="F568" t="s">
        <v>38</v>
      </c>
      <c r="G568" t="s">
        <v>30</v>
      </c>
      <c r="H568" t="s">
        <v>31</v>
      </c>
      <c r="I568" t="str">
        <f t="shared" si="38"/>
        <v/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T568" t="s">
        <v>43</v>
      </c>
      <c r="U568" t="str">
        <f t="shared" si="35"/>
        <v/>
      </c>
      <c r="V568" t="str">
        <f t="shared" si="36"/>
        <v/>
      </c>
    </row>
    <row r="569" spans="1:22" x14ac:dyDescent="0.2">
      <c r="A569" t="s">
        <v>1139</v>
      </c>
      <c r="B569" t="s">
        <v>364</v>
      </c>
      <c r="C569" t="s">
        <v>370</v>
      </c>
      <c r="D569" t="s">
        <v>225</v>
      </c>
      <c r="F569" t="s">
        <v>38</v>
      </c>
      <c r="G569" t="s">
        <v>30</v>
      </c>
      <c r="H569" t="s">
        <v>31</v>
      </c>
      <c r="I569" t="str">
        <f t="shared" si="38"/>
        <v/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T569" t="s">
        <v>43</v>
      </c>
      <c r="U569" t="str">
        <f t="shared" si="35"/>
        <v/>
      </c>
      <c r="V569" t="str">
        <f t="shared" si="36"/>
        <v/>
      </c>
    </row>
    <row r="570" spans="1:22" x14ac:dyDescent="0.2">
      <c r="A570" t="s">
        <v>1140</v>
      </c>
      <c r="B570" t="s">
        <v>225</v>
      </c>
      <c r="C570" t="s">
        <v>228</v>
      </c>
      <c r="D570" t="s">
        <v>229</v>
      </c>
      <c r="E570" t="s">
        <v>1141</v>
      </c>
      <c r="F570" t="s">
        <v>38</v>
      </c>
      <c r="G570" t="s">
        <v>30</v>
      </c>
      <c r="H570" t="s">
        <v>31</v>
      </c>
      <c r="I570" t="str">
        <f t="shared" si="38"/>
        <v/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T570" t="s">
        <v>43</v>
      </c>
      <c r="U570" t="str">
        <f t="shared" si="35"/>
        <v/>
      </c>
      <c r="V570" t="str">
        <f t="shared" si="36"/>
        <v/>
      </c>
    </row>
    <row r="571" spans="1:22" x14ac:dyDescent="0.2">
      <c r="A571" t="s">
        <v>1142</v>
      </c>
      <c r="B571" t="s">
        <v>225</v>
      </c>
      <c r="C571" t="s">
        <v>233</v>
      </c>
      <c r="D571" t="s">
        <v>234</v>
      </c>
      <c r="E571" t="s">
        <v>380</v>
      </c>
      <c r="F571" t="s">
        <v>38</v>
      </c>
      <c r="G571" t="s">
        <v>30</v>
      </c>
      <c r="H571" t="s">
        <v>31</v>
      </c>
      <c r="I571" t="str">
        <f t="shared" si="38"/>
        <v>UFDB</v>
      </c>
      <c r="J571" t="s">
        <v>255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T571" t="s">
        <v>43</v>
      </c>
      <c r="U571" t="str">
        <f t="shared" si="35"/>
        <v/>
      </c>
      <c r="V571" t="str">
        <f t="shared" si="36"/>
        <v>Ja</v>
      </c>
    </row>
    <row r="572" spans="1:22" x14ac:dyDescent="0.2">
      <c r="A572" t="s">
        <v>1143</v>
      </c>
      <c r="B572" t="s">
        <v>364</v>
      </c>
      <c r="C572" t="s">
        <v>385</v>
      </c>
      <c r="D572" t="s">
        <v>367</v>
      </c>
      <c r="E572" t="s">
        <v>1144</v>
      </c>
      <c r="F572" t="s">
        <v>38</v>
      </c>
      <c r="G572" t="s">
        <v>30</v>
      </c>
      <c r="H572" t="s">
        <v>31</v>
      </c>
      <c r="I572" t="str">
        <f t="shared" si="38"/>
        <v>UFDB</v>
      </c>
      <c r="J572" t="s">
        <v>259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T572" t="s">
        <v>43</v>
      </c>
      <c r="U572" t="str">
        <f t="shared" si="35"/>
        <v/>
      </c>
      <c r="V572" t="str">
        <f t="shared" si="36"/>
        <v>Ja</v>
      </c>
    </row>
    <row r="573" spans="1:22" x14ac:dyDescent="0.2">
      <c r="A573" t="s">
        <v>1145</v>
      </c>
      <c r="B573" t="s">
        <v>364</v>
      </c>
      <c r="C573" t="s">
        <v>382</v>
      </c>
      <c r="D573" t="s">
        <v>143</v>
      </c>
      <c r="E573" t="s">
        <v>1146</v>
      </c>
      <c r="F573" t="s">
        <v>38</v>
      </c>
      <c r="G573" t="s">
        <v>30</v>
      </c>
      <c r="H573" t="s">
        <v>31</v>
      </c>
      <c r="I573" t="str">
        <f t="shared" si="38"/>
        <v>UFDB</v>
      </c>
      <c r="J573" t="s">
        <v>262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T573" t="s">
        <v>43</v>
      </c>
      <c r="U573" t="str">
        <f t="shared" si="35"/>
        <v/>
      </c>
      <c r="V573" t="str">
        <f t="shared" si="36"/>
        <v>Ja</v>
      </c>
    </row>
    <row r="574" spans="1:22" x14ac:dyDescent="0.2">
      <c r="A574" t="s">
        <v>1147</v>
      </c>
      <c r="B574" t="s">
        <v>1069</v>
      </c>
      <c r="C574" t="s">
        <v>1085</v>
      </c>
      <c r="D574" t="s">
        <v>1086</v>
      </c>
      <c r="E574" s="15"/>
      <c r="F574" t="s">
        <v>38</v>
      </c>
      <c r="G574" t="s">
        <v>30</v>
      </c>
      <c r="H574" t="s">
        <v>31</v>
      </c>
      <c r="I574" t="str">
        <f t="shared" si="38"/>
        <v>UFDB</v>
      </c>
      <c r="J574" t="s">
        <v>266</v>
      </c>
      <c r="K574" t="s">
        <v>33</v>
      </c>
      <c r="L574" t="s">
        <v>43</v>
      </c>
      <c r="M574" t="s">
        <v>33</v>
      </c>
      <c r="N574" t="s">
        <v>43</v>
      </c>
      <c r="O574" t="s">
        <v>33</v>
      </c>
      <c r="P574" t="s">
        <v>43</v>
      </c>
      <c r="Q574" t="s">
        <v>33</v>
      </c>
      <c r="R574" t="s">
        <v>43</v>
      </c>
      <c r="T574" t="s">
        <v>43</v>
      </c>
      <c r="U574" t="str">
        <f t="shared" si="35"/>
        <v/>
      </c>
      <c r="V574" t="str">
        <f t="shared" si="36"/>
        <v/>
      </c>
    </row>
    <row r="575" spans="1:22" x14ac:dyDescent="0.2">
      <c r="A575" t="s">
        <v>1148</v>
      </c>
      <c r="B575" t="s">
        <v>1086</v>
      </c>
      <c r="C575" t="s">
        <v>353</v>
      </c>
      <c r="D575" t="s">
        <v>1088</v>
      </c>
      <c r="F575" t="s">
        <v>38</v>
      </c>
      <c r="G575" t="s">
        <v>139</v>
      </c>
      <c r="H575" t="s">
        <v>31</v>
      </c>
      <c r="I575" t="str">
        <f t="shared" si="38"/>
        <v>UFDB</v>
      </c>
      <c r="J575" t="s">
        <v>269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T575" t="s">
        <v>43</v>
      </c>
      <c r="U575" t="str">
        <f t="shared" si="35"/>
        <v/>
      </c>
      <c r="V575" t="str">
        <f t="shared" si="36"/>
        <v>Ja</v>
      </c>
    </row>
    <row r="576" spans="1:22" x14ac:dyDescent="0.2">
      <c r="A576" t="s">
        <v>1149</v>
      </c>
      <c r="B576" t="s">
        <v>1088</v>
      </c>
      <c r="C576" t="s">
        <v>366</v>
      </c>
      <c r="D576" t="s">
        <v>367</v>
      </c>
      <c r="E576" s="15" t="s">
        <v>1150</v>
      </c>
      <c r="F576" t="s">
        <v>38</v>
      </c>
      <c r="G576" t="s">
        <v>30</v>
      </c>
      <c r="H576" t="s">
        <v>31</v>
      </c>
      <c r="I576" t="str">
        <f t="shared" si="38"/>
        <v>UFDB</v>
      </c>
      <c r="J576" t="s">
        <v>274</v>
      </c>
      <c r="K576" t="s">
        <v>33</v>
      </c>
      <c r="L576" t="s">
        <v>43</v>
      </c>
      <c r="M576" t="s">
        <v>33</v>
      </c>
      <c r="N576" t="s">
        <v>43</v>
      </c>
      <c r="O576" t="s">
        <v>33</v>
      </c>
      <c r="P576" t="s">
        <v>43</v>
      </c>
      <c r="Q576" t="s">
        <v>33</v>
      </c>
      <c r="R576" t="s">
        <v>43</v>
      </c>
      <c r="T576" t="s">
        <v>43</v>
      </c>
      <c r="U576" t="str">
        <f t="shared" si="35"/>
        <v/>
      </c>
      <c r="V576" t="str">
        <f t="shared" si="36"/>
        <v/>
      </c>
    </row>
    <row r="577" spans="1:22" x14ac:dyDescent="0.2">
      <c r="A577" t="s">
        <v>1151</v>
      </c>
      <c r="B577" t="s">
        <v>1088</v>
      </c>
      <c r="C577" t="s">
        <v>385</v>
      </c>
      <c r="D577" t="s">
        <v>367</v>
      </c>
      <c r="E577" s="15" t="s">
        <v>1152</v>
      </c>
      <c r="F577" t="s">
        <v>38</v>
      </c>
      <c r="G577" t="s">
        <v>30</v>
      </c>
      <c r="H577" t="s">
        <v>31</v>
      </c>
      <c r="I577" t="str">
        <f t="shared" si="38"/>
        <v>UFDB</v>
      </c>
      <c r="J577" t="s">
        <v>279</v>
      </c>
      <c r="K577" t="s">
        <v>33</v>
      </c>
      <c r="L577" t="s">
        <v>43</v>
      </c>
      <c r="M577" t="s">
        <v>33</v>
      </c>
      <c r="N577" t="s">
        <v>43</v>
      </c>
      <c r="O577" t="s">
        <v>33</v>
      </c>
      <c r="P577" t="s">
        <v>43</v>
      </c>
      <c r="Q577" t="s">
        <v>33</v>
      </c>
      <c r="R577" t="s">
        <v>43</v>
      </c>
      <c r="T577" t="s">
        <v>43</v>
      </c>
      <c r="U577" t="str">
        <f t="shared" si="35"/>
        <v/>
      </c>
      <c r="V577" t="str">
        <f t="shared" si="36"/>
        <v/>
      </c>
    </row>
    <row r="578" spans="1:22" x14ac:dyDescent="0.2">
      <c r="A578" t="s">
        <v>1153</v>
      </c>
      <c r="B578" t="s">
        <v>1086</v>
      </c>
      <c r="C578" t="s">
        <v>542</v>
      </c>
      <c r="D578" t="s">
        <v>1088</v>
      </c>
      <c r="E578" s="15"/>
      <c r="F578" t="s">
        <v>38</v>
      </c>
      <c r="G578" t="s">
        <v>30</v>
      </c>
      <c r="H578" t="s">
        <v>31</v>
      </c>
      <c r="I578" t="str">
        <f t="shared" si="38"/>
        <v>UFDB</v>
      </c>
      <c r="J578" t="s">
        <v>283</v>
      </c>
      <c r="K578" t="s">
        <v>33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33</v>
      </c>
      <c r="T578" t="s">
        <v>43</v>
      </c>
      <c r="U578" t="str">
        <f t="shared" si="35"/>
        <v/>
      </c>
      <c r="V578" t="str">
        <f t="shared" si="36"/>
        <v/>
      </c>
    </row>
    <row r="579" spans="1:22" x14ac:dyDescent="0.2">
      <c r="A579" t="s">
        <v>1154</v>
      </c>
      <c r="B579" t="s">
        <v>1088</v>
      </c>
      <c r="C579" t="s">
        <v>366</v>
      </c>
      <c r="D579" t="s">
        <v>367</v>
      </c>
      <c r="E579" s="15" t="s">
        <v>1150</v>
      </c>
      <c r="G579" t="s">
        <v>30</v>
      </c>
      <c r="H579" t="s">
        <v>31</v>
      </c>
      <c r="I579" t="s">
        <v>1047</v>
      </c>
      <c r="K579" t="s">
        <v>33</v>
      </c>
      <c r="L579" t="s">
        <v>43</v>
      </c>
      <c r="M579" t="s">
        <v>33</v>
      </c>
      <c r="N579" t="s">
        <v>43</v>
      </c>
      <c r="O579" t="s">
        <v>33</v>
      </c>
      <c r="P579" t="s">
        <v>43</v>
      </c>
      <c r="Q579" t="s">
        <v>33</v>
      </c>
      <c r="R579" t="s">
        <v>43</v>
      </c>
      <c r="T579" t="s">
        <v>43</v>
      </c>
      <c r="U579" t="str">
        <f t="shared" si="35"/>
        <v/>
      </c>
      <c r="V579" t="str">
        <f t="shared" si="36"/>
        <v/>
      </c>
    </row>
    <row r="580" spans="1:22" x14ac:dyDescent="0.2">
      <c r="A580" t="s">
        <v>1155</v>
      </c>
      <c r="B580" t="s">
        <v>1088</v>
      </c>
      <c r="C580" t="s">
        <v>385</v>
      </c>
      <c r="D580" t="s">
        <v>367</v>
      </c>
      <c r="E580" s="15" t="s">
        <v>1152</v>
      </c>
      <c r="G580" t="s">
        <v>30</v>
      </c>
      <c r="H580" t="s">
        <v>31</v>
      </c>
      <c r="I580" t="s">
        <v>1047</v>
      </c>
      <c r="K580" t="s">
        <v>33</v>
      </c>
      <c r="L580" t="s">
        <v>43</v>
      </c>
      <c r="M580" t="s">
        <v>33</v>
      </c>
      <c r="N580" t="s">
        <v>43</v>
      </c>
      <c r="O580" t="s">
        <v>33</v>
      </c>
      <c r="P580" t="s">
        <v>43</v>
      </c>
      <c r="Q580" t="s">
        <v>33</v>
      </c>
      <c r="R580" t="s">
        <v>43</v>
      </c>
      <c r="T580" t="s">
        <v>43</v>
      </c>
      <c r="U580" t="str">
        <f t="shared" si="35"/>
        <v/>
      </c>
      <c r="V580" t="str">
        <f t="shared" si="36"/>
        <v/>
      </c>
    </row>
    <row r="581" spans="1:22" x14ac:dyDescent="0.2">
      <c r="A581" t="s">
        <v>1156</v>
      </c>
      <c r="B581" t="s">
        <v>1086</v>
      </c>
      <c r="C581" t="s">
        <v>632</v>
      </c>
      <c r="D581" t="s">
        <v>1088</v>
      </c>
      <c r="E581" s="15"/>
      <c r="G581" t="s">
        <v>30</v>
      </c>
      <c r="H581" t="s">
        <v>31</v>
      </c>
      <c r="I581" t="s">
        <v>1047</v>
      </c>
      <c r="K581" t="s">
        <v>33</v>
      </c>
      <c r="L581" t="s">
        <v>43</v>
      </c>
      <c r="M581" t="s">
        <v>33</v>
      </c>
      <c r="N581" t="s">
        <v>43</v>
      </c>
      <c r="O581" t="s">
        <v>33</v>
      </c>
      <c r="P581" t="s">
        <v>43</v>
      </c>
      <c r="Q581" t="s">
        <v>33</v>
      </c>
      <c r="R581" t="s">
        <v>43</v>
      </c>
      <c r="T581" t="s">
        <v>43</v>
      </c>
      <c r="U581" t="str">
        <f t="shared" si="35"/>
        <v/>
      </c>
      <c r="V581" t="str">
        <f t="shared" si="36"/>
        <v/>
      </c>
    </row>
    <row r="582" spans="1:22" x14ac:dyDescent="0.2">
      <c r="A582" t="s">
        <v>1157</v>
      </c>
      <c r="B582" t="s">
        <v>1088</v>
      </c>
      <c r="C582" t="s">
        <v>366</v>
      </c>
      <c r="D582" t="s">
        <v>367</v>
      </c>
      <c r="E582" s="15" t="s">
        <v>1150</v>
      </c>
      <c r="G582" t="s">
        <v>30</v>
      </c>
      <c r="H582" t="s">
        <v>31</v>
      </c>
      <c r="I582" t="str">
        <f t="shared" ref="I582:I591" si="39">IF(J582&lt;&gt;"","UFDB","")</f>
        <v>UFDB</v>
      </c>
      <c r="J582" t="s">
        <v>1158</v>
      </c>
      <c r="K582" t="s">
        <v>33</v>
      </c>
      <c r="L582" t="s">
        <v>43</v>
      </c>
      <c r="M582" t="s">
        <v>33</v>
      </c>
      <c r="N582" t="s">
        <v>43</v>
      </c>
      <c r="O582" t="s">
        <v>33</v>
      </c>
      <c r="P582" t="s">
        <v>43</v>
      </c>
      <c r="Q582" t="s">
        <v>33</v>
      </c>
      <c r="R582" t="s">
        <v>43</v>
      </c>
      <c r="T582" t="s">
        <v>43</v>
      </c>
      <c r="U582" t="str">
        <f t="shared" si="35"/>
        <v/>
      </c>
      <c r="V582" t="str">
        <f t="shared" si="36"/>
        <v/>
      </c>
    </row>
    <row r="583" spans="1:22" x14ac:dyDescent="0.2">
      <c r="A583" t="s">
        <v>1159</v>
      </c>
      <c r="B583" t="s">
        <v>1088</v>
      </c>
      <c r="C583" t="s">
        <v>385</v>
      </c>
      <c r="D583" t="s">
        <v>367</v>
      </c>
      <c r="E583" s="15" t="s">
        <v>1152</v>
      </c>
      <c r="G583" t="s">
        <v>30</v>
      </c>
      <c r="H583" t="s">
        <v>31</v>
      </c>
      <c r="I583" t="str">
        <f t="shared" si="39"/>
        <v>UFDB</v>
      </c>
      <c r="J583" t="s">
        <v>1160</v>
      </c>
      <c r="K583" t="s">
        <v>33</v>
      </c>
      <c r="L583" t="s">
        <v>43</v>
      </c>
      <c r="M583" t="s">
        <v>33</v>
      </c>
      <c r="N583" t="s">
        <v>43</v>
      </c>
      <c r="O583" t="s">
        <v>33</v>
      </c>
      <c r="P583" t="s">
        <v>43</v>
      </c>
      <c r="Q583" t="s">
        <v>33</v>
      </c>
      <c r="R583" t="s">
        <v>43</v>
      </c>
      <c r="T583" t="s">
        <v>43</v>
      </c>
      <c r="U583" t="str">
        <f t="shared" si="35"/>
        <v/>
      </c>
      <c r="V583" t="str">
        <f t="shared" si="36"/>
        <v/>
      </c>
    </row>
    <row r="584" spans="1:22" x14ac:dyDescent="0.2">
      <c r="A584" t="s">
        <v>1161</v>
      </c>
      <c r="B584" t="s">
        <v>1086</v>
      </c>
      <c r="C584" t="s">
        <v>717</v>
      </c>
      <c r="D584" t="s">
        <v>1088</v>
      </c>
      <c r="E584" s="15"/>
      <c r="G584" t="s">
        <v>30</v>
      </c>
      <c r="H584" t="s">
        <v>31</v>
      </c>
      <c r="I584" t="str">
        <f t="shared" si="39"/>
        <v>UFDB</v>
      </c>
      <c r="J584" t="s">
        <v>1162</v>
      </c>
      <c r="K584" t="s">
        <v>33</v>
      </c>
      <c r="L584" t="s">
        <v>43</v>
      </c>
      <c r="M584" t="s">
        <v>33</v>
      </c>
      <c r="N584" t="s">
        <v>43</v>
      </c>
      <c r="O584" t="s">
        <v>33</v>
      </c>
      <c r="P584" t="s">
        <v>43</v>
      </c>
      <c r="Q584" t="s">
        <v>33</v>
      </c>
      <c r="R584" t="s">
        <v>43</v>
      </c>
      <c r="T584" t="s">
        <v>43</v>
      </c>
      <c r="U584" t="str">
        <f t="shared" si="35"/>
        <v/>
      </c>
      <c r="V584" t="str">
        <f t="shared" si="36"/>
        <v/>
      </c>
    </row>
    <row r="585" spans="1:22" x14ac:dyDescent="0.2">
      <c r="A585" t="s">
        <v>1163</v>
      </c>
      <c r="B585" t="s">
        <v>1088</v>
      </c>
      <c r="C585" t="s">
        <v>366</v>
      </c>
      <c r="D585" t="s">
        <v>367</v>
      </c>
      <c r="E585" s="15" t="s">
        <v>1150</v>
      </c>
      <c r="G585" t="s">
        <v>30</v>
      </c>
      <c r="H585" t="s">
        <v>31</v>
      </c>
      <c r="I585" t="str">
        <f t="shared" si="39"/>
        <v>UFDB</v>
      </c>
      <c r="J585" t="s">
        <v>1164</v>
      </c>
      <c r="K585" t="s">
        <v>33</v>
      </c>
      <c r="L585" t="s">
        <v>43</v>
      </c>
      <c r="M585" t="s">
        <v>33</v>
      </c>
      <c r="N585" t="s">
        <v>43</v>
      </c>
      <c r="O585" t="s">
        <v>33</v>
      </c>
      <c r="P585" t="s">
        <v>43</v>
      </c>
      <c r="Q585" t="s">
        <v>33</v>
      </c>
      <c r="R585" t="s">
        <v>43</v>
      </c>
      <c r="T585" t="s">
        <v>43</v>
      </c>
      <c r="U585" t="str">
        <f t="shared" si="35"/>
        <v/>
      </c>
      <c r="V585" t="str">
        <f t="shared" si="36"/>
        <v/>
      </c>
    </row>
    <row r="586" spans="1:22" x14ac:dyDescent="0.2">
      <c r="A586" t="s">
        <v>1165</v>
      </c>
      <c r="B586" t="s">
        <v>1088</v>
      </c>
      <c r="C586" t="s">
        <v>385</v>
      </c>
      <c r="D586" t="s">
        <v>367</v>
      </c>
      <c r="E586" s="15" t="s">
        <v>1152</v>
      </c>
      <c r="G586" t="s">
        <v>30</v>
      </c>
      <c r="H586" t="s">
        <v>31</v>
      </c>
      <c r="I586" t="str">
        <f t="shared" si="39"/>
        <v>UFDB</v>
      </c>
      <c r="J586" t="s">
        <v>1166</v>
      </c>
      <c r="K586" t="s">
        <v>33</v>
      </c>
      <c r="L586" t="s">
        <v>43</v>
      </c>
      <c r="M586" t="s">
        <v>33</v>
      </c>
      <c r="N586" t="s">
        <v>43</v>
      </c>
      <c r="O586" t="s">
        <v>33</v>
      </c>
      <c r="P586" t="s">
        <v>43</v>
      </c>
      <c r="Q586" t="s">
        <v>33</v>
      </c>
      <c r="R586" t="s">
        <v>43</v>
      </c>
      <c r="T586" t="s">
        <v>43</v>
      </c>
      <c r="U586" t="str">
        <f t="shared" si="35"/>
        <v/>
      </c>
      <c r="V586" t="str">
        <f t="shared" si="36"/>
        <v/>
      </c>
    </row>
    <row r="587" spans="1:22" x14ac:dyDescent="0.2">
      <c r="A587" t="s">
        <v>1167</v>
      </c>
      <c r="B587" t="s">
        <v>1086</v>
      </c>
      <c r="C587" t="s">
        <v>833</v>
      </c>
      <c r="D587" t="s">
        <v>1088</v>
      </c>
      <c r="E587" s="15"/>
      <c r="G587" t="s">
        <v>30</v>
      </c>
      <c r="H587" t="s">
        <v>31</v>
      </c>
      <c r="I587" t="str">
        <f t="shared" si="39"/>
        <v>UFDB</v>
      </c>
      <c r="J587" t="s">
        <v>1168</v>
      </c>
      <c r="K587" t="s">
        <v>33</v>
      </c>
      <c r="L587" t="s">
        <v>43</v>
      </c>
      <c r="M587" t="s">
        <v>33</v>
      </c>
      <c r="N587" t="s">
        <v>43</v>
      </c>
      <c r="O587" t="s">
        <v>33</v>
      </c>
      <c r="P587" t="s">
        <v>43</v>
      </c>
      <c r="Q587" t="s">
        <v>33</v>
      </c>
      <c r="R587" t="s">
        <v>43</v>
      </c>
      <c r="T587" t="s">
        <v>43</v>
      </c>
      <c r="U587" t="str">
        <f t="shared" si="35"/>
        <v/>
      </c>
      <c r="V587" t="str">
        <f t="shared" si="36"/>
        <v/>
      </c>
    </row>
    <row r="588" spans="1:22" x14ac:dyDescent="0.2">
      <c r="A588" t="s">
        <v>1169</v>
      </c>
      <c r="B588" t="s">
        <v>1088</v>
      </c>
      <c r="C588" t="s">
        <v>366</v>
      </c>
      <c r="D588" t="s">
        <v>367</v>
      </c>
      <c r="E588" s="15" t="s">
        <v>1150</v>
      </c>
      <c r="G588" t="s">
        <v>30</v>
      </c>
      <c r="H588" t="s">
        <v>31</v>
      </c>
      <c r="I588" t="str">
        <f t="shared" si="39"/>
        <v>UFDB</v>
      </c>
      <c r="J588" t="s">
        <v>1170</v>
      </c>
      <c r="K588" t="s">
        <v>33</v>
      </c>
      <c r="L588" t="s">
        <v>43</v>
      </c>
      <c r="M588" t="s">
        <v>33</v>
      </c>
      <c r="N588" t="s">
        <v>43</v>
      </c>
      <c r="O588" t="s">
        <v>33</v>
      </c>
      <c r="P588" t="s">
        <v>43</v>
      </c>
      <c r="Q588" t="s">
        <v>33</v>
      </c>
      <c r="R588" t="s">
        <v>43</v>
      </c>
      <c r="T588" t="s">
        <v>43</v>
      </c>
      <c r="U588" t="str">
        <f t="shared" si="35"/>
        <v/>
      </c>
      <c r="V588" t="str">
        <f t="shared" si="36"/>
        <v/>
      </c>
    </row>
    <row r="589" spans="1:22" x14ac:dyDescent="0.2">
      <c r="A589" t="s">
        <v>1171</v>
      </c>
      <c r="B589" t="s">
        <v>1088</v>
      </c>
      <c r="C589" t="s">
        <v>385</v>
      </c>
      <c r="D589" t="s">
        <v>367</v>
      </c>
      <c r="E589" s="15" t="s">
        <v>1152</v>
      </c>
      <c r="G589" t="s">
        <v>30</v>
      </c>
      <c r="H589" t="s">
        <v>31</v>
      </c>
      <c r="I589" t="str">
        <f t="shared" si="39"/>
        <v>UFDB</v>
      </c>
      <c r="J589" t="s">
        <v>1170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43</v>
      </c>
      <c r="T589" t="s">
        <v>43</v>
      </c>
      <c r="U589" t="str">
        <f t="shared" si="35"/>
        <v/>
      </c>
      <c r="V589" t="str">
        <f t="shared" si="36"/>
        <v>Ja</v>
      </c>
    </row>
    <row r="590" spans="1:22" ht="15" customHeight="1" x14ac:dyDescent="0.2">
      <c r="A590" t="s">
        <v>1172</v>
      </c>
      <c r="B590" t="s">
        <v>1069</v>
      </c>
      <c r="C590" t="s">
        <v>1107</v>
      </c>
      <c r="D590" t="s">
        <v>1086</v>
      </c>
      <c r="E590" s="15"/>
      <c r="G590" t="s">
        <v>30</v>
      </c>
      <c r="H590" t="s">
        <v>31</v>
      </c>
      <c r="I590" t="str">
        <f t="shared" si="39"/>
        <v/>
      </c>
      <c r="K590" t="s">
        <v>43</v>
      </c>
      <c r="L590" t="s">
        <v>43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43</v>
      </c>
      <c r="T590" t="s">
        <v>43</v>
      </c>
      <c r="U590" t="str">
        <f t="shared" si="35"/>
        <v/>
      </c>
      <c r="V590" t="str">
        <f t="shared" si="36"/>
        <v/>
      </c>
    </row>
    <row r="591" spans="1:22" x14ac:dyDescent="0.2">
      <c r="A591" s="10" t="s">
        <v>1173</v>
      </c>
      <c r="B591" s="10" t="s">
        <v>1086</v>
      </c>
      <c r="C591" s="10" t="s">
        <v>353</v>
      </c>
      <c r="D591" s="10" t="s">
        <v>1088</v>
      </c>
      <c r="E591" s="15"/>
      <c r="G591" t="s">
        <v>30</v>
      </c>
      <c r="H591" t="s">
        <v>31</v>
      </c>
      <c r="I591" t="str">
        <f t="shared" si="39"/>
        <v/>
      </c>
      <c r="K591" t="s">
        <v>43</v>
      </c>
      <c r="L591" t="s">
        <v>43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43</v>
      </c>
      <c r="T591" t="s">
        <v>43</v>
      </c>
      <c r="U591" t="str">
        <f t="shared" si="35"/>
        <v/>
      </c>
      <c r="V591" t="str">
        <f t="shared" si="36"/>
        <v/>
      </c>
    </row>
    <row r="592" spans="1:22" x14ac:dyDescent="0.2">
      <c r="A592" s="23" t="s">
        <v>1174</v>
      </c>
      <c r="B592" s="23" t="s">
        <v>1088</v>
      </c>
      <c r="C592" s="23" t="s">
        <v>366</v>
      </c>
      <c r="D592" s="23" t="s">
        <v>367</v>
      </c>
      <c r="E592" s="15" t="s">
        <v>1175</v>
      </c>
      <c r="G592" t="s">
        <v>30</v>
      </c>
      <c r="H592" t="s">
        <v>31</v>
      </c>
      <c r="K592" t="s">
        <v>43</v>
      </c>
      <c r="L592" t="s">
        <v>43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43</v>
      </c>
      <c r="T592" t="s">
        <v>43</v>
      </c>
      <c r="U592" t="str">
        <f t="shared" si="35"/>
        <v/>
      </c>
      <c r="V592" t="str">
        <f t="shared" si="36"/>
        <v/>
      </c>
    </row>
    <row r="593" spans="1:22" x14ac:dyDescent="0.2">
      <c r="A593" s="10" t="s">
        <v>1176</v>
      </c>
      <c r="B593" s="10" t="s">
        <v>1088</v>
      </c>
      <c r="C593" s="10" t="s">
        <v>385</v>
      </c>
      <c r="D593" s="10" t="s">
        <v>367</v>
      </c>
      <c r="E593" s="15" t="s">
        <v>1177</v>
      </c>
      <c r="G593" t="s">
        <v>30</v>
      </c>
      <c r="H593" t="s">
        <v>31</v>
      </c>
      <c r="I593" t="str">
        <f>IF(J593&lt;&gt;"","UFDB","")</f>
        <v/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T593" t="s">
        <v>43</v>
      </c>
      <c r="U593" t="str">
        <f t="shared" ref="U593:U605" si="40">IF(AND(COUNTIF($K593:$R593,"Ja")&gt;0,OR($I593="",AND($I593="UFDB",$J593=""))),"Ja","")</f>
        <v/>
      </c>
      <c r="V593" t="str">
        <f t="shared" ref="V593:V605" si="41">IF(AND(COUNTIF($K593:$R593,"Ja")=0,$I593&lt;&gt;""),"Ja","")</f>
        <v/>
      </c>
    </row>
    <row r="594" spans="1:22" x14ac:dyDescent="0.2">
      <c r="A594" s="10" t="s">
        <v>1178</v>
      </c>
      <c r="B594" s="10" t="s">
        <v>1086</v>
      </c>
      <c r="C594" s="10" t="s">
        <v>542</v>
      </c>
      <c r="D594" s="10" t="s">
        <v>1088</v>
      </c>
      <c r="E594" s="15"/>
      <c r="G594" t="s">
        <v>30</v>
      </c>
      <c r="H594" t="s">
        <v>31</v>
      </c>
      <c r="I594" t="str">
        <f>IF(J594&lt;&gt;"","UFDB","")</f>
        <v/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T594" t="s">
        <v>43</v>
      </c>
      <c r="U594" t="str">
        <f t="shared" si="40"/>
        <v/>
      </c>
      <c r="V594" t="str">
        <f t="shared" si="41"/>
        <v/>
      </c>
    </row>
    <row r="595" spans="1:22" x14ac:dyDescent="0.2">
      <c r="A595" s="10" t="s">
        <v>1179</v>
      </c>
      <c r="B595" s="10" t="s">
        <v>1088</v>
      </c>
      <c r="C595" s="10" t="s">
        <v>366</v>
      </c>
      <c r="D595" s="10" t="s">
        <v>367</v>
      </c>
      <c r="E595" s="15" t="s">
        <v>1175</v>
      </c>
      <c r="G595" t="s">
        <v>30</v>
      </c>
      <c r="H595" t="s">
        <v>31</v>
      </c>
      <c r="I595" t="str">
        <f>IF(J595&lt;&gt;"","UFDB","")</f>
        <v/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T595" t="s">
        <v>43</v>
      </c>
      <c r="U595" t="str">
        <f t="shared" si="40"/>
        <v/>
      </c>
      <c r="V595" t="str">
        <f t="shared" si="41"/>
        <v/>
      </c>
    </row>
    <row r="596" spans="1:22" x14ac:dyDescent="0.2">
      <c r="A596" s="10" t="s">
        <v>1180</v>
      </c>
      <c r="B596" s="10" t="s">
        <v>1088</v>
      </c>
      <c r="C596" s="10" t="s">
        <v>385</v>
      </c>
      <c r="D596" s="10" t="s">
        <v>367</v>
      </c>
      <c r="E596" s="15" t="s">
        <v>1177</v>
      </c>
      <c r="G596" t="s">
        <v>30</v>
      </c>
      <c r="H596" t="s">
        <v>31</v>
      </c>
      <c r="I596" t="str">
        <f>IF(J596&lt;&gt;"","UFDB","")</f>
        <v/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T596" t="s">
        <v>43</v>
      </c>
      <c r="U596" t="str">
        <f t="shared" si="40"/>
        <v/>
      </c>
      <c r="V596" t="str">
        <f t="shared" si="41"/>
        <v/>
      </c>
    </row>
    <row r="597" spans="1:22" x14ac:dyDescent="0.2">
      <c r="A597" s="23" t="s">
        <v>1181</v>
      </c>
      <c r="B597" s="23" t="s">
        <v>1086</v>
      </c>
      <c r="C597" s="23" t="s">
        <v>632</v>
      </c>
      <c r="D597" s="23" t="s">
        <v>1088</v>
      </c>
      <c r="E597" s="15"/>
      <c r="G597" t="s">
        <v>30</v>
      </c>
      <c r="H597" t="s">
        <v>31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T597" t="s">
        <v>43</v>
      </c>
      <c r="U597" t="str">
        <f t="shared" si="40"/>
        <v/>
      </c>
      <c r="V597" t="str">
        <f t="shared" si="41"/>
        <v/>
      </c>
    </row>
    <row r="598" spans="1:22" x14ac:dyDescent="0.2">
      <c r="A598" s="10" t="s">
        <v>1182</v>
      </c>
      <c r="B598" s="10" t="s">
        <v>1088</v>
      </c>
      <c r="C598" s="10" t="s">
        <v>366</v>
      </c>
      <c r="D598" s="10" t="s">
        <v>367</v>
      </c>
      <c r="E598" s="15" t="s">
        <v>1175</v>
      </c>
      <c r="G598" t="s">
        <v>30</v>
      </c>
      <c r="H598" t="s">
        <v>31</v>
      </c>
      <c r="I598" t="str">
        <f>IF(J598&lt;&gt;"","UFDB","")</f>
        <v>UFDB</v>
      </c>
      <c r="J598" t="s">
        <v>1183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33</v>
      </c>
      <c r="R598" t="s">
        <v>43</v>
      </c>
      <c r="T598" t="s">
        <v>43</v>
      </c>
      <c r="U598" t="str">
        <f t="shared" si="40"/>
        <v/>
      </c>
      <c r="V598" t="str">
        <f t="shared" si="41"/>
        <v/>
      </c>
    </row>
    <row r="599" spans="1:22" x14ac:dyDescent="0.2">
      <c r="A599" s="10" t="s">
        <v>1184</v>
      </c>
      <c r="B599" s="10" t="s">
        <v>1088</v>
      </c>
      <c r="C599" s="10" t="s">
        <v>385</v>
      </c>
      <c r="D599" s="10" t="s">
        <v>367</v>
      </c>
      <c r="E599" s="15" t="s">
        <v>1177</v>
      </c>
      <c r="G599" t="s">
        <v>30</v>
      </c>
      <c r="H599" t="s">
        <v>31</v>
      </c>
      <c r="I599" t="str">
        <f>IF(J599&lt;&gt;"","UFDB","")</f>
        <v>UFDB</v>
      </c>
      <c r="J599" t="s">
        <v>1185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33</v>
      </c>
      <c r="R599" t="s">
        <v>43</v>
      </c>
      <c r="T599" t="s">
        <v>43</v>
      </c>
      <c r="U599" t="str">
        <f t="shared" si="40"/>
        <v/>
      </c>
      <c r="V599" t="str">
        <f t="shared" si="41"/>
        <v/>
      </c>
    </row>
    <row r="600" spans="1:22" x14ac:dyDescent="0.2">
      <c r="A600" s="23" t="s">
        <v>1186</v>
      </c>
      <c r="B600" s="23" t="s">
        <v>1086</v>
      </c>
      <c r="C600" s="23" t="s">
        <v>717</v>
      </c>
      <c r="D600" s="23" t="s">
        <v>1088</v>
      </c>
      <c r="E600" s="15"/>
      <c r="G600" t="s">
        <v>30</v>
      </c>
      <c r="H600" t="s">
        <v>31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T600" t="s">
        <v>43</v>
      </c>
      <c r="U600" t="str">
        <f t="shared" si="40"/>
        <v/>
      </c>
      <c r="V600" t="str">
        <f t="shared" si="41"/>
        <v/>
      </c>
    </row>
    <row r="601" spans="1:22" x14ac:dyDescent="0.2">
      <c r="A601" s="10" t="s">
        <v>1187</v>
      </c>
      <c r="B601" s="10" t="s">
        <v>1088</v>
      </c>
      <c r="C601" s="10" t="s">
        <v>366</v>
      </c>
      <c r="D601" s="10" t="s">
        <v>367</v>
      </c>
      <c r="E601" s="15" t="s">
        <v>1175</v>
      </c>
      <c r="G601" t="s">
        <v>30</v>
      </c>
      <c r="H601" t="s">
        <v>31</v>
      </c>
      <c r="I601" t="str">
        <f>IF(J601&lt;&gt;"","UFDB","")</f>
        <v>UFDB</v>
      </c>
      <c r="J601" t="s">
        <v>1188</v>
      </c>
      <c r="K601" t="s">
        <v>33</v>
      </c>
      <c r="L601" t="s">
        <v>43</v>
      </c>
      <c r="M601" t="s">
        <v>33</v>
      </c>
      <c r="N601" t="s">
        <v>43</v>
      </c>
      <c r="O601" t="s">
        <v>33</v>
      </c>
      <c r="P601" t="s">
        <v>43</v>
      </c>
      <c r="Q601" t="s">
        <v>33</v>
      </c>
      <c r="R601" t="s">
        <v>43</v>
      </c>
      <c r="T601" t="s">
        <v>43</v>
      </c>
      <c r="U601" t="str">
        <f t="shared" si="40"/>
        <v/>
      </c>
      <c r="V601" t="str">
        <f t="shared" si="41"/>
        <v/>
      </c>
    </row>
    <row r="602" spans="1:22" x14ac:dyDescent="0.2">
      <c r="A602" s="10" t="s">
        <v>1189</v>
      </c>
      <c r="B602" s="10" t="s">
        <v>1088</v>
      </c>
      <c r="C602" s="10" t="s">
        <v>385</v>
      </c>
      <c r="D602" s="10" t="s">
        <v>367</v>
      </c>
      <c r="E602" s="15" t="s">
        <v>1177</v>
      </c>
      <c r="G602" t="s">
        <v>30</v>
      </c>
      <c r="H602" t="s">
        <v>31</v>
      </c>
      <c r="I602" t="str">
        <f>IF(J602&lt;&gt;"","UFDB","")</f>
        <v>UFDB</v>
      </c>
      <c r="J602" t="s">
        <v>1190</v>
      </c>
      <c r="K602" t="s">
        <v>33</v>
      </c>
      <c r="L602" t="s">
        <v>43</v>
      </c>
      <c r="M602" t="s">
        <v>33</v>
      </c>
      <c r="N602" t="s">
        <v>43</v>
      </c>
      <c r="O602" t="s">
        <v>33</v>
      </c>
      <c r="P602" t="s">
        <v>43</v>
      </c>
      <c r="Q602" t="s">
        <v>33</v>
      </c>
      <c r="R602" t="s">
        <v>43</v>
      </c>
      <c r="T602" t="s">
        <v>43</v>
      </c>
      <c r="U602" t="str">
        <f t="shared" si="40"/>
        <v/>
      </c>
      <c r="V602" t="str">
        <f t="shared" si="41"/>
        <v/>
      </c>
    </row>
    <row r="603" spans="1:22" x14ac:dyDescent="0.2">
      <c r="A603" s="10" t="s">
        <v>1191</v>
      </c>
      <c r="B603" s="10" t="s">
        <v>1086</v>
      </c>
      <c r="C603" s="10" t="s">
        <v>833</v>
      </c>
      <c r="D603" s="10" t="s">
        <v>1088</v>
      </c>
      <c r="E603" s="15"/>
      <c r="G603" t="s">
        <v>30</v>
      </c>
      <c r="H603" t="s">
        <v>31</v>
      </c>
      <c r="I603" t="str">
        <f>IF(J603&lt;&gt;"","UFDB","")</f>
        <v/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T603" t="s">
        <v>43</v>
      </c>
      <c r="U603" t="str">
        <f t="shared" si="40"/>
        <v/>
      </c>
      <c r="V603" t="str">
        <f t="shared" si="41"/>
        <v/>
      </c>
    </row>
    <row r="604" spans="1:22" x14ac:dyDescent="0.2">
      <c r="A604" s="10" t="s">
        <v>1192</v>
      </c>
      <c r="B604" s="10" t="s">
        <v>1088</v>
      </c>
      <c r="C604" s="10" t="s">
        <v>366</v>
      </c>
      <c r="D604" s="10" t="s">
        <v>367</v>
      </c>
      <c r="E604" s="15" t="s">
        <v>1175</v>
      </c>
      <c r="G604" t="s">
        <v>30</v>
      </c>
      <c r="H604" t="s">
        <v>31</v>
      </c>
      <c r="I604" t="str">
        <f>IF(J604&lt;&gt;"","UFDB","")</f>
        <v>UFDB</v>
      </c>
      <c r="J604" t="s">
        <v>1193</v>
      </c>
      <c r="K604" t="s">
        <v>33</v>
      </c>
      <c r="L604" t="s">
        <v>43</v>
      </c>
      <c r="M604" t="s">
        <v>33</v>
      </c>
      <c r="N604" t="s">
        <v>43</v>
      </c>
      <c r="O604" t="s">
        <v>33</v>
      </c>
      <c r="P604" t="s">
        <v>43</v>
      </c>
      <c r="Q604" t="s">
        <v>33</v>
      </c>
      <c r="R604" t="s">
        <v>43</v>
      </c>
      <c r="T604" t="s">
        <v>43</v>
      </c>
      <c r="U604" t="str">
        <f t="shared" si="40"/>
        <v/>
      </c>
      <c r="V604" t="str">
        <f t="shared" si="41"/>
        <v/>
      </c>
    </row>
    <row r="605" spans="1:22" x14ac:dyDescent="0.2">
      <c r="A605" s="23" t="s">
        <v>1194</v>
      </c>
      <c r="B605" s="23" t="s">
        <v>1088</v>
      </c>
      <c r="C605" s="23" t="s">
        <v>385</v>
      </c>
      <c r="D605" s="23" t="s">
        <v>367</v>
      </c>
      <c r="E605" s="15" t="s">
        <v>1177</v>
      </c>
      <c r="G605" t="s">
        <v>30</v>
      </c>
      <c r="H605" t="s">
        <v>31</v>
      </c>
      <c r="K605" t="s">
        <v>43</v>
      </c>
      <c r="L605" t="s">
        <v>43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43</v>
      </c>
      <c r="T605" t="s">
        <v>43</v>
      </c>
      <c r="U605" t="str">
        <f t="shared" si="40"/>
        <v/>
      </c>
      <c r="V605" t="str">
        <f t="shared" si="41"/>
        <v/>
      </c>
    </row>
    <row r="606" spans="1:22" x14ac:dyDescent="0.2">
      <c r="A606" t="s">
        <v>1195</v>
      </c>
      <c r="B606" t="s">
        <v>1069</v>
      </c>
      <c r="C606" t="s">
        <v>385</v>
      </c>
      <c r="D606" t="s">
        <v>367</v>
      </c>
      <c r="E606" t="s">
        <v>1144</v>
      </c>
    </row>
    <row r="607" spans="1:22" x14ac:dyDescent="0.2">
      <c r="A607" t="s">
        <v>1196</v>
      </c>
      <c r="B607" t="s">
        <v>1129</v>
      </c>
      <c r="C607" t="s">
        <v>1197</v>
      </c>
      <c r="D607" t="s">
        <v>143</v>
      </c>
      <c r="E607" t="s">
        <v>1198</v>
      </c>
    </row>
    <row r="608" spans="1:22" x14ac:dyDescent="0.2">
      <c r="A608" t="s">
        <v>1199</v>
      </c>
      <c r="B608" t="s">
        <v>1129</v>
      </c>
      <c r="C608" t="s">
        <v>1200</v>
      </c>
      <c r="D608" t="s">
        <v>36</v>
      </c>
      <c r="E608" t="s">
        <v>1201</v>
      </c>
    </row>
    <row r="609" spans="1:5" x14ac:dyDescent="0.2">
      <c r="A609" t="s">
        <v>1202</v>
      </c>
      <c r="B609" t="s">
        <v>1129</v>
      </c>
      <c r="C609" t="s">
        <v>1064</v>
      </c>
      <c r="D609" t="s">
        <v>1065</v>
      </c>
      <c r="E609" t="s">
        <v>1203</v>
      </c>
    </row>
    <row r="610" spans="1:5" x14ac:dyDescent="0.2">
      <c r="A610" t="s">
        <v>1204</v>
      </c>
      <c r="B610" t="s">
        <v>1129</v>
      </c>
      <c r="C610" t="s">
        <v>1064</v>
      </c>
      <c r="D610" t="s">
        <v>1129</v>
      </c>
      <c r="E610" t="s">
        <v>1203</v>
      </c>
    </row>
    <row r="611" spans="1:5" x14ac:dyDescent="0.2">
      <c r="A611" t="s">
        <v>1205</v>
      </c>
      <c r="B611" t="s">
        <v>1129</v>
      </c>
      <c r="C611" t="s">
        <v>1208</v>
      </c>
      <c r="D611" t="s">
        <v>1209</v>
      </c>
      <c r="E611" t="s">
        <v>1203</v>
      </c>
    </row>
    <row r="612" spans="1:5" x14ac:dyDescent="0.2">
      <c r="A612" t="s">
        <v>1206</v>
      </c>
      <c r="B612" t="s">
        <v>1129</v>
      </c>
      <c r="C612" t="s">
        <v>1208</v>
      </c>
      <c r="D612" t="s">
        <v>1229</v>
      </c>
      <c r="E612" t="s">
        <v>1203</v>
      </c>
    </row>
    <row r="613" spans="1:5" x14ac:dyDescent="0.2">
      <c r="A613" t="s">
        <v>1207</v>
      </c>
      <c r="B613" t="s">
        <v>80</v>
      </c>
      <c r="C613" t="s">
        <v>1208</v>
      </c>
      <c r="D613" t="s">
        <v>1209</v>
      </c>
    </row>
    <row r="614" spans="1:5" x14ac:dyDescent="0.2">
      <c r="A614" t="s">
        <v>1210</v>
      </c>
      <c r="B614" t="s">
        <v>1213</v>
      </c>
      <c r="C614" t="s">
        <v>26</v>
      </c>
      <c r="D614" t="s">
        <v>27</v>
      </c>
      <c r="E614" t="s">
        <v>1211</v>
      </c>
    </row>
    <row r="615" spans="1:5" ht="16" x14ac:dyDescent="0.2">
      <c r="A615" t="s">
        <v>1212</v>
      </c>
      <c r="B615" s="27" t="s">
        <v>1213</v>
      </c>
      <c r="C615" s="27" t="s">
        <v>363</v>
      </c>
      <c r="D615" s="27" t="s">
        <v>7698</v>
      </c>
    </row>
    <row r="616" spans="1:5" x14ac:dyDescent="0.2">
      <c r="A616" t="s">
        <v>1214</v>
      </c>
      <c r="B616" t="s">
        <v>364</v>
      </c>
      <c r="C616" t="s">
        <v>366</v>
      </c>
      <c r="D616" t="s">
        <v>367</v>
      </c>
      <c r="E616" t="s">
        <v>1215</v>
      </c>
    </row>
    <row r="617" spans="1:5" x14ac:dyDescent="0.2">
      <c r="A617" t="s">
        <v>1216</v>
      </c>
      <c r="B617" t="s">
        <v>364</v>
      </c>
      <c r="C617" t="s">
        <v>370</v>
      </c>
      <c r="D617" t="s">
        <v>225</v>
      </c>
    </row>
    <row r="618" spans="1:5" x14ac:dyDescent="0.2">
      <c r="A618" t="s">
        <v>1217</v>
      </c>
      <c r="B618" t="s">
        <v>225</v>
      </c>
      <c r="C618" t="s">
        <v>228</v>
      </c>
      <c r="D618" t="s">
        <v>229</v>
      </c>
      <c r="E618" t="s">
        <v>1218</v>
      </c>
    </row>
    <row r="619" spans="1:5" x14ac:dyDescent="0.2">
      <c r="A619" t="s">
        <v>1219</v>
      </c>
      <c r="B619" t="s">
        <v>225</v>
      </c>
      <c r="C619" t="s">
        <v>233</v>
      </c>
      <c r="D619" t="s">
        <v>234</v>
      </c>
      <c r="E619" t="s">
        <v>374</v>
      </c>
    </row>
    <row r="620" spans="1:5" x14ac:dyDescent="0.2">
      <c r="A620" t="s">
        <v>1220</v>
      </c>
      <c r="B620" t="s">
        <v>364</v>
      </c>
      <c r="C620" t="s">
        <v>370</v>
      </c>
      <c r="D620" t="s">
        <v>225</v>
      </c>
    </row>
    <row r="621" spans="1:5" x14ac:dyDescent="0.2">
      <c r="A621" t="s">
        <v>1221</v>
      </c>
      <c r="B621" t="s">
        <v>225</v>
      </c>
      <c r="C621" t="s">
        <v>228</v>
      </c>
      <c r="D621" t="s">
        <v>229</v>
      </c>
      <c r="E621" t="s">
        <v>1222</v>
      </c>
    </row>
    <row r="622" spans="1:5" x14ac:dyDescent="0.2">
      <c r="A622" t="s">
        <v>1223</v>
      </c>
      <c r="B622" t="s">
        <v>225</v>
      </c>
      <c r="C622" t="s">
        <v>233</v>
      </c>
      <c r="D622" t="s">
        <v>234</v>
      </c>
      <c r="E622" t="s">
        <v>380</v>
      </c>
    </row>
    <row r="623" spans="1:5" x14ac:dyDescent="0.2">
      <c r="A623" t="s">
        <v>1224</v>
      </c>
      <c r="B623" t="s">
        <v>364</v>
      </c>
      <c r="C623" t="s">
        <v>382</v>
      </c>
      <c r="D623" t="s">
        <v>143</v>
      </c>
      <c r="E623" t="s">
        <v>1225</v>
      </c>
    </row>
    <row r="624" spans="1:5" x14ac:dyDescent="0.2">
      <c r="A624" t="s">
        <v>1226</v>
      </c>
      <c r="B624" t="s">
        <v>1213</v>
      </c>
      <c r="C624" t="s">
        <v>385</v>
      </c>
      <c r="D624" t="s">
        <v>367</v>
      </c>
      <c r="E624" t="s">
        <v>1227</v>
      </c>
    </row>
    <row r="625" spans="1:5" x14ac:dyDescent="0.2">
      <c r="A625" t="s">
        <v>1228</v>
      </c>
      <c r="B625" t="s">
        <v>80</v>
      </c>
      <c r="C625" t="s">
        <v>1208</v>
      </c>
      <c r="D625" t="s">
        <v>1229</v>
      </c>
    </row>
    <row r="626" spans="1:5" x14ac:dyDescent="0.2">
      <c r="A626" t="s">
        <v>1230</v>
      </c>
      <c r="B626" t="s">
        <v>1213</v>
      </c>
      <c r="C626" t="s">
        <v>26</v>
      </c>
      <c r="D626" t="s">
        <v>27</v>
      </c>
      <c r="E626" t="s">
        <v>1231</v>
      </c>
    </row>
    <row r="627" spans="1:5" x14ac:dyDescent="0.2">
      <c r="A627" t="s">
        <v>1232</v>
      </c>
      <c r="B627" t="s">
        <v>1213</v>
      </c>
      <c r="C627" t="s">
        <v>363</v>
      </c>
      <c r="D627" t="s">
        <v>364</v>
      </c>
    </row>
    <row r="628" spans="1:5" x14ac:dyDescent="0.2">
      <c r="A628" t="s">
        <v>1233</v>
      </c>
      <c r="B628" t="s">
        <v>364</v>
      </c>
      <c r="C628" t="s">
        <v>366</v>
      </c>
      <c r="D628" t="s">
        <v>367</v>
      </c>
      <c r="E628" t="s">
        <v>1234</v>
      </c>
    </row>
    <row r="629" spans="1:5" x14ac:dyDescent="0.2">
      <c r="A629" t="s">
        <v>1235</v>
      </c>
      <c r="B629" t="s">
        <v>364</v>
      </c>
      <c r="C629" t="s">
        <v>370</v>
      </c>
      <c r="D629" t="s">
        <v>225</v>
      </c>
    </row>
    <row r="630" spans="1:5" x14ac:dyDescent="0.2">
      <c r="A630" t="s">
        <v>1236</v>
      </c>
      <c r="B630" t="s">
        <v>225</v>
      </c>
      <c r="C630" t="s">
        <v>228</v>
      </c>
      <c r="D630" t="s">
        <v>229</v>
      </c>
      <c r="E630" t="s">
        <v>1237</v>
      </c>
    </row>
    <row r="631" spans="1:5" x14ac:dyDescent="0.2">
      <c r="A631" t="s">
        <v>1238</v>
      </c>
      <c r="B631" t="s">
        <v>225</v>
      </c>
      <c r="C631" t="s">
        <v>233</v>
      </c>
      <c r="D631" t="s">
        <v>234</v>
      </c>
      <c r="E631" t="s">
        <v>374</v>
      </c>
    </row>
    <row r="632" spans="1:5" x14ac:dyDescent="0.2">
      <c r="A632" t="s">
        <v>1239</v>
      </c>
      <c r="B632" t="s">
        <v>364</v>
      </c>
      <c r="C632" t="s">
        <v>370</v>
      </c>
      <c r="D632" t="s">
        <v>225</v>
      </c>
    </row>
    <row r="633" spans="1:5" x14ac:dyDescent="0.2">
      <c r="A633" t="s">
        <v>1240</v>
      </c>
      <c r="B633" t="s">
        <v>225</v>
      </c>
      <c r="C633" t="s">
        <v>228</v>
      </c>
      <c r="D633" t="s">
        <v>229</v>
      </c>
      <c r="E633" t="s">
        <v>1241</v>
      </c>
    </row>
    <row r="634" spans="1:5" x14ac:dyDescent="0.2">
      <c r="A634" t="s">
        <v>1242</v>
      </c>
      <c r="B634" t="s">
        <v>225</v>
      </c>
      <c r="C634" t="s">
        <v>233</v>
      </c>
      <c r="D634" t="s">
        <v>234</v>
      </c>
      <c r="E634" t="s">
        <v>380</v>
      </c>
    </row>
    <row r="635" spans="1:5" x14ac:dyDescent="0.2">
      <c r="A635" t="s">
        <v>1243</v>
      </c>
      <c r="B635" t="s">
        <v>364</v>
      </c>
      <c r="C635" t="s">
        <v>382</v>
      </c>
      <c r="D635" t="s">
        <v>143</v>
      </c>
      <c r="E635" t="s">
        <v>1244</v>
      </c>
    </row>
    <row r="636" spans="1:5" x14ac:dyDescent="0.2">
      <c r="A636" t="s">
        <v>1245</v>
      </c>
      <c r="B636" t="s">
        <v>1213</v>
      </c>
      <c r="C636" t="s">
        <v>385</v>
      </c>
      <c r="D636" t="s">
        <v>367</v>
      </c>
      <c r="E636" t="s">
        <v>1246</v>
      </c>
    </row>
    <row r="637" spans="1:5" x14ac:dyDescent="0.2">
      <c r="A637" t="s">
        <v>1247</v>
      </c>
      <c r="B637" t="s">
        <v>1229</v>
      </c>
      <c r="C637" t="s">
        <v>1197</v>
      </c>
      <c r="D637" t="s">
        <v>143</v>
      </c>
      <c r="E637" t="s">
        <v>1248</v>
      </c>
    </row>
    <row r="638" spans="1:5" x14ac:dyDescent="0.2">
      <c r="A638" t="s">
        <v>1249</v>
      </c>
      <c r="B638" t="s">
        <v>1229</v>
      </c>
      <c r="C638" t="s">
        <v>1200</v>
      </c>
      <c r="D638" t="s">
        <v>36</v>
      </c>
      <c r="E638" t="s">
        <v>1201</v>
      </c>
    </row>
    <row r="639" spans="1:5" x14ac:dyDescent="0.2">
      <c r="A639" t="s">
        <v>1250</v>
      </c>
      <c r="B639" t="s">
        <v>1229</v>
      </c>
      <c r="C639" t="s">
        <v>1064</v>
      </c>
      <c r="D639" t="s">
        <v>1065</v>
      </c>
      <c r="E639" t="s">
        <v>1203</v>
      </c>
    </row>
    <row r="640" spans="1:5" x14ac:dyDescent="0.2">
      <c r="A640" t="s">
        <v>1251</v>
      </c>
      <c r="B640" t="s">
        <v>1229</v>
      </c>
      <c r="C640" t="s">
        <v>1064</v>
      </c>
      <c r="D640" t="s">
        <v>1129</v>
      </c>
      <c r="E640" t="s">
        <v>1203</v>
      </c>
    </row>
    <row r="641" spans="1:5" x14ac:dyDescent="0.2">
      <c r="A641" t="s">
        <v>1252</v>
      </c>
      <c r="B641" t="s">
        <v>1229</v>
      </c>
      <c r="C641" t="s">
        <v>1208</v>
      </c>
      <c r="D641" t="s">
        <v>1209</v>
      </c>
      <c r="E641" t="s">
        <v>1203</v>
      </c>
    </row>
    <row r="642" spans="1:5" x14ac:dyDescent="0.2">
      <c r="A642" t="s">
        <v>1253</v>
      </c>
      <c r="B642" t="s">
        <v>1229</v>
      </c>
      <c r="C642" t="s">
        <v>1208</v>
      </c>
      <c r="D642" t="s">
        <v>1229</v>
      </c>
      <c r="E642" t="s">
        <v>1203</v>
      </c>
    </row>
    <row r="643" spans="1:5" x14ac:dyDescent="0.2">
      <c r="A643" t="s">
        <v>1254</v>
      </c>
      <c r="B643" t="s">
        <v>80</v>
      </c>
      <c r="C643" t="s">
        <v>1255</v>
      </c>
      <c r="D643" t="s">
        <v>1256</v>
      </c>
    </row>
    <row r="644" spans="1:5" x14ac:dyDescent="0.2">
      <c r="A644" t="s">
        <v>1257</v>
      </c>
      <c r="B644" t="s">
        <v>1256</v>
      </c>
      <c r="C644" t="s">
        <v>26</v>
      </c>
      <c r="D644" t="s">
        <v>27</v>
      </c>
      <c r="E644" t="s">
        <v>1258</v>
      </c>
    </row>
    <row r="645" spans="1:5" x14ac:dyDescent="0.2">
      <c r="A645" t="s">
        <v>1259</v>
      </c>
      <c r="B645" t="s">
        <v>1256</v>
      </c>
      <c r="C645" t="s">
        <v>363</v>
      </c>
      <c r="D645" t="s">
        <v>364</v>
      </c>
    </row>
    <row r="646" spans="1:5" x14ac:dyDescent="0.2">
      <c r="A646" t="s">
        <v>1260</v>
      </c>
      <c r="B646" t="s">
        <v>364</v>
      </c>
      <c r="C646" t="s">
        <v>366</v>
      </c>
      <c r="D646" t="s">
        <v>367</v>
      </c>
      <c r="E646" t="s">
        <v>1261</v>
      </c>
    </row>
    <row r="647" spans="1:5" x14ac:dyDescent="0.2">
      <c r="A647" t="s">
        <v>1262</v>
      </c>
      <c r="B647" t="s">
        <v>364</v>
      </c>
      <c r="C647" t="s">
        <v>370</v>
      </c>
      <c r="D647" t="s">
        <v>225</v>
      </c>
    </row>
    <row r="648" spans="1:5" x14ac:dyDescent="0.2">
      <c r="A648" t="s">
        <v>1263</v>
      </c>
      <c r="B648" t="s">
        <v>225</v>
      </c>
      <c r="C648" t="s">
        <v>228</v>
      </c>
      <c r="D648" t="s">
        <v>229</v>
      </c>
      <c r="E648" t="s">
        <v>1264</v>
      </c>
    </row>
    <row r="649" spans="1:5" x14ac:dyDescent="0.2">
      <c r="A649" t="s">
        <v>1265</v>
      </c>
      <c r="B649" t="s">
        <v>225</v>
      </c>
      <c r="C649" t="s">
        <v>233</v>
      </c>
      <c r="D649" t="s">
        <v>234</v>
      </c>
      <c r="E649" t="s">
        <v>1266</v>
      </c>
    </row>
    <row r="650" spans="1:5" x14ac:dyDescent="0.2">
      <c r="A650" t="s">
        <v>1267</v>
      </c>
      <c r="B650" t="s">
        <v>364</v>
      </c>
      <c r="C650" t="s">
        <v>370</v>
      </c>
      <c r="D650" t="s">
        <v>225</v>
      </c>
    </row>
    <row r="651" spans="1:5" x14ac:dyDescent="0.2">
      <c r="A651" t="s">
        <v>1268</v>
      </c>
      <c r="B651" t="s">
        <v>225</v>
      </c>
      <c r="C651" t="s">
        <v>228</v>
      </c>
      <c r="D651" t="s">
        <v>229</v>
      </c>
      <c r="E651" t="s">
        <v>1269</v>
      </c>
    </row>
    <row r="652" spans="1:5" x14ac:dyDescent="0.2">
      <c r="A652" t="s">
        <v>1270</v>
      </c>
      <c r="B652" t="s">
        <v>225</v>
      </c>
      <c r="C652" t="s">
        <v>233</v>
      </c>
      <c r="D652" t="s">
        <v>234</v>
      </c>
      <c r="E652" t="s">
        <v>1271</v>
      </c>
    </row>
    <row r="653" spans="1:5" x14ac:dyDescent="0.2">
      <c r="A653" t="s">
        <v>1272</v>
      </c>
      <c r="B653" t="s">
        <v>364</v>
      </c>
      <c r="C653" t="s">
        <v>382</v>
      </c>
      <c r="D653" t="s">
        <v>143</v>
      </c>
      <c r="E653" t="s">
        <v>1273</v>
      </c>
    </row>
    <row r="654" spans="1:5" x14ac:dyDescent="0.2">
      <c r="A654" t="s">
        <v>1274</v>
      </c>
      <c r="B654" t="s">
        <v>80</v>
      </c>
      <c r="C654" t="s">
        <v>1275</v>
      </c>
      <c r="D654" t="s">
        <v>124</v>
      </c>
    </row>
    <row r="655" spans="1:5" x14ac:dyDescent="0.2">
      <c r="A655" t="s">
        <v>1276</v>
      </c>
      <c r="B655" t="s">
        <v>124</v>
      </c>
      <c r="C655" t="s">
        <v>26</v>
      </c>
      <c r="D655" t="s">
        <v>27</v>
      </c>
      <c r="E655" t="s">
        <v>1277</v>
      </c>
    </row>
    <row r="656" spans="1:5" x14ac:dyDescent="0.2">
      <c r="A656" t="s">
        <v>1278</v>
      </c>
      <c r="B656" t="s">
        <v>80</v>
      </c>
      <c r="C656" t="s">
        <v>1279</v>
      </c>
      <c r="D656" t="s">
        <v>124</v>
      </c>
    </row>
    <row r="657" spans="1:5" x14ac:dyDescent="0.2">
      <c r="A657" t="s">
        <v>1280</v>
      </c>
      <c r="B657" t="s">
        <v>124</v>
      </c>
      <c r="C657" t="s">
        <v>26</v>
      </c>
      <c r="D657" t="s">
        <v>27</v>
      </c>
      <c r="E657" t="s">
        <v>1281</v>
      </c>
    </row>
    <row r="658" spans="1:5" x14ac:dyDescent="0.2">
      <c r="A658" t="s">
        <v>1282</v>
      </c>
      <c r="B658" t="s">
        <v>80</v>
      </c>
      <c r="C658" t="s">
        <v>1283</v>
      </c>
      <c r="D658" t="s">
        <v>143</v>
      </c>
      <c r="E658" t="s">
        <v>1284</v>
      </c>
    </row>
    <row r="659" spans="1:5" x14ac:dyDescent="0.2">
      <c r="A659" t="s">
        <v>1285</v>
      </c>
      <c r="B659" t="s">
        <v>80</v>
      </c>
      <c r="C659" t="s">
        <v>1197</v>
      </c>
      <c r="D659" t="s">
        <v>143</v>
      </c>
      <c r="E659" t="s">
        <v>1286</v>
      </c>
    </row>
    <row r="660" spans="1:5" x14ac:dyDescent="0.2">
      <c r="A660" t="s">
        <v>1287</v>
      </c>
      <c r="B660" t="s">
        <v>80</v>
      </c>
      <c r="C660" t="s">
        <v>1200</v>
      </c>
      <c r="D660" t="s">
        <v>36</v>
      </c>
      <c r="E660" t="s">
        <v>1201</v>
      </c>
    </row>
    <row r="661" spans="1:5" x14ac:dyDescent="0.2">
      <c r="A661" t="s">
        <v>1288</v>
      </c>
      <c r="B661" t="s">
        <v>80</v>
      </c>
      <c r="C661" t="s">
        <v>1289</v>
      </c>
      <c r="D661" t="s">
        <v>36</v>
      </c>
      <c r="E661" t="s">
        <v>1290</v>
      </c>
    </row>
    <row r="662" spans="1:5" x14ac:dyDescent="0.2">
      <c r="A662" t="s">
        <v>1291</v>
      </c>
      <c r="B662" t="s">
        <v>80</v>
      </c>
      <c r="C662" t="s">
        <v>1292</v>
      </c>
      <c r="D662" t="s">
        <v>36</v>
      </c>
      <c r="E662" t="s">
        <v>1293</v>
      </c>
    </row>
    <row r="663" spans="1:5" x14ac:dyDescent="0.2">
      <c r="A663" t="s">
        <v>1294</v>
      </c>
      <c r="B663" t="s">
        <v>80</v>
      </c>
      <c r="C663" t="s">
        <v>1295</v>
      </c>
      <c r="D663" t="s">
        <v>36</v>
      </c>
      <c r="E663" t="s">
        <v>1296</v>
      </c>
    </row>
    <row r="664" spans="1:5" ht="16" x14ac:dyDescent="0.2">
      <c r="A664" t="s">
        <v>1297</v>
      </c>
      <c r="B664" s="27" t="s">
        <v>80</v>
      </c>
      <c r="C664" s="27" t="s">
        <v>1298</v>
      </c>
      <c r="D664" s="27" t="s">
        <v>7702</v>
      </c>
    </row>
    <row r="665" spans="1:5" x14ac:dyDescent="0.2">
      <c r="A665" t="s">
        <v>1300</v>
      </c>
      <c r="B665" t="s">
        <v>1299</v>
      </c>
      <c r="C665" t="s">
        <v>1301</v>
      </c>
      <c r="D665" t="s">
        <v>36</v>
      </c>
      <c r="E665" t="s">
        <v>1302</v>
      </c>
    </row>
    <row r="666" spans="1:5" x14ac:dyDescent="0.2">
      <c r="A666" t="s">
        <v>1303</v>
      </c>
      <c r="B666" t="s">
        <v>1299</v>
      </c>
      <c r="C666" t="s">
        <v>1304</v>
      </c>
      <c r="D666" t="s">
        <v>36</v>
      </c>
      <c r="E666" t="s">
        <v>1305</v>
      </c>
    </row>
    <row r="667" spans="1:5" x14ac:dyDescent="0.2">
      <c r="A667" t="s">
        <v>1306</v>
      </c>
      <c r="B667" t="s">
        <v>1299</v>
      </c>
      <c r="C667" t="s">
        <v>1307</v>
      </c>
      <c r="D667" t="s">
        <v>143</v>
      </c>
      <c r="E667" t="s">
        <v>1308</v>
      </c>
    </row>
    <row r="668" spans="1:5" x14ac:dyDescent="0.2">
      <c r="A668" t="s">
        <v>1309</v>
      </c>
      <c r="B668" t="s">
        <v>1299</v>
      </c>
      <c r="C668" t="s">
        <v>1310</v>
      </c>
      <c r="D668" t="s">
        <v>160</v>
      </c>
      <c r="E668" t="s">
        <v>1311</v>
      </c>
    </row>
    <row r="669" spans="1:5" x14ac:dyDescent="0.2">
      <c r="A669" t="s">
        <v>1312</v>
      </c>
      <c r="B669" t="s">
        <v>1299</v>
      </c>
      <c r="C669" t="s">
        <v>1313</v>
      </c>
      <c r="D669" t="s">
        <v>36</v>
      </c>
      <c r="E669" t="s">
        <v>1314</v>
      </c>
    </row>
    <row r="670" spans="1:5" x14ac:dyDescent="0.2">
      <c r="A670" t="s">
        <v>1315</v>
      </c>
      <c r="B670" t="s">
        <v>1299</v>
      </c>
      <c r="C670" t="s">
        <v>1316</v>
      </c>
      <c r="D670" t="s">
        <v>36</v>
      </c>
      <c r="E670" t="s">
        <v>1317</v>
      </c>
    </row>
    <row r="671" spans="1:5" x14ac:dyDescent="0.2">
      <c r="A671" t="s">
        <v>1318</v>
      </c>
      <c r="B671" t="s">
        <v>1299</v>
      </c>
      <c r="C671" t="s">
        <v>1319</v>
      </c>
      <c r="D671" t="s">
        <v>36</v>
      </c>
      <c r="E671" t="s">
        <v>1320</v>
      </c>
    </row>
    <row r="672" spans="1:5" x14ac:dyDescent="0.2">
      <c r="A672" t="s">
        <v>1321</v>
      </c>
      <c r="B672" t="s">
        <v>80</v>
      </c>
      <c r="C672" t="s">
        <v>1322</v>
      </c>
      <c r="D672" t="s">
        <v>1323</v>
      </c>
    </row>
    <row r="673" spans="1:5" x14ac:dyDescent="0.2">
      <c r="A673" t="s">
        <v>1324</v>
      </c>
      <c r="B673" t="s">
        <v>1323</v>
      </c>
      <c r="C673" t="s">
        <v>1325</v>
      </c>
      <c r="D673" t="s">
        <v>36</v>
      </c>
      <c r="E673" t="s">
        <v>1326</v>
      </c>
    </row>
    <row r="674" spans="1:5" x14ac:dyDescent="0.2">
      <c r="A674" t="s">
        <v>1327</v>
      </c>
      <c r="B674" t="s">
        <v>1323</v>
      </c>
      <c r="C674" t="s">
        <v>1328</v>
      </c>
      <c r="D674" t="s">
        <v>36</v>
      </c>
      <c r="E674" t="s">
        <v>1329</v>
      </c>
    </row>
    <row r="675" spans="1:5" x14ac:dyDescent="0.2">
      <c r="A675" t="s">
        <v>1330</v>
      </c>
      <c r="B675" t="s">
        <v>1323</v>
      </c>
      <c r="C675" t="s">
        <v>1331</v>
      </c>
      <c r="D675" t="s">
        <v>160</v>
      </c>
      <c r="E675" t="s">
        <v>1332</v>
      </c>
    </row>
    <row r="676" spans="1:5" x14ac:dyDescent="0.2">
      <c r="A676" t="s">
        <v>1333</v>
      </c>
      <c r="B676" t="s">
        <v>25</v>
      </c>
      <c r="C676" t="s">
        <v>26</v>
      </c>
      <c r="D676" t="s">
        <v>27</v>
      </c>
      <c r="E676" t="s">
        <v>1334</v>
      </c>
    </row>
    <row r="677" spans="1:5" x14ac:dyDescent="0.2">
      <c r="A677" t="s">
        <v>1335</v>
      </c>
      <c r="B677" t="s">
        <v>25</v>
      </c>
      <c r="C677" t="s">
        <v>35</v>
      </c>
      <c r="D677" t="s">
        <v>36</v>
      </c>
      <c r="E677" t="s">
        <v>1336</v>
      </c>
    </row>
    <row r="678" spans="1:5" ht="16" x14ac:dyDescent="0.2">
      <c r="A678" t="s">
        <v>1337</v>
      </c>
      <c r="B678" s="27" t="s">
        <v>25</v>
      </c>
      <c r="C678" s="27" t="s">
        <v>26</v>
      </c>
      <c r="D678" s="27" t="s">
        <v>27</v>
      </c>
      <c r="E678" t="s">
        <v>1338</v>
      </c>
    </row>
    <row r="679" spans="1:5" x14ac:dyDescent="0.2">
      <c r="A679" t="s">
        <v>1339</v>
      </c>
      <c r="B679" t="s">
        <v>25</v>
      </c>
      <c r="C679" t="s">
        <v>45</v>
      </c>
      <c r="D679" t="s">
        <v>46</v>
      </c>
    </row>
    <row r="680" spans="1:5" x14ac:dyDescent="0.2">
      <c r="A680" t="s">
        <v>1340</v>
      </c>
      <c r="B680" t="s">
        <v>46</v>
      </c>
      <c r="C680" t="s">
        <v>48</v>
      </c>
      <c r="D680" t="s">
        <v>36</v>
      </c>
      <c r="E680" t="s">
        <v>49</v>
      </c>
    </row>
    <row r="681" spans="1:5" x14ac:dyDescent="0.2">
      <c r="A681" t="s">
        <v>1341</v>
      </c>
      <c r="B681" t="s">
        <v>46</v>
      </c>
      <c r="C681" t="s">
        <v>52</v>
      </c>
      <c r="D681" t="s">
        <v>36</v>
      </c>
      <c r="E681" t="s">
        <v>53</v>
      </c>
    </row>
    <row r="682" spans="1:5" x14ac:dyDescent="0.2">
      <c r="A682" t="s">
        <v>1342</v>
      </c>
      <c r="B682" t="s">
        <v>46</v>
      </c>
      <c r="C682" t="s">
        <v>52</v>
      </c>
      <c r="D682" t="s">
        <v>1343</v>
      </c>
      <c r="E682" t="s">
        <v>57</v>
      </c>
    </row>
    <row r="683" spans="1:5" x14ac:dyDescent="0.2">
      <c r="A683" t="s">
        <v>1344</v>
      </c>
      <c r="B683" t="s">
        <v>46</v>
      </c>
      <c r="C683" t="s">
        <v>61</v>
      </c>
      <c r="D683" t="s">
        <v>36</v>
      </c>
      <c r="E683" t="s">
        <v>62</v>
      </c>
    </row>
    <row r="684" spans="1:5" x14ac:dyDescent="0.2">
      <c r="A684" t="s">
        <v>1345</v>
      </c>
      <c r="B684" t="s">
        <v>46</v>
      </c>
      <c r="C684" t="s">
        <v>65</v>
      </c>
      <c r="D684" t="s">
        <v>36</v>
      </c>
      <c r="E684" t="s">
        <v>66</v>
      </c>
    </row>
    <row r="685" spans="1:5" x14ac:dyDescent="0.2">
      <c r="A685" t="s">
        <v>1346</v>
      </c>
      <c r="B685" t="s">
        <v>46</v>
      </c>
      <c r="C685" t="s">
        <v>69</v>
      </c>
      <c r="D685" t="s">
        <v>36</v>
      </c>
      <c r="E685" t="s">
        <v>70</v>
      </c>
    </row>
    <row r="686" spans="1:5" x14ac:dyDescent="0.2">
      <c r="A686" t="s">
        <v>1347</v>
      </c>
      <c r="B686" t="s">
        <v>46</v>
      </c>
      <c r="C686" t="s">
        <v>73</v>
      </c>
      <c r="D686" t="s">
        <v>36</v>
      </c>
      <c r="E686" t="s">
        <v>74</v>
      </c>
    </row>
    <row r="687" spans="1:5" x14ac:dyDescent="0.2">
      <c r="A687" t="s">
        <v>1348</v>
      </c>
      <c r="B687" t="s">
        <v>46</v>
      </c>
      <c r="C687" t="s">
        <v>52</v>
      </c>
      <c r="D687" t="s">
        <v>1343</v>
      </c>
      <c r="E687" t="s">
        <v>77</v>
      </c>
    </row>
    <row r="688" spans="1:5" x14ac:dyDescent="0.2">
      <c r="A688" t="s">
        <v>1349</v>
      </c>
      <c r="B688" t="s">
        <v>80</v>
      </c>
      <c r="C688" t="s">
        <v>81</v>
      </c>
      <c r="D688" t="s">
        <v>46</v>
      </c>
    </row>
    <row r="689" spans="1:5" x14ac:dyDescent="0.2">
      <c r="A689" t="s">
        <v>1350</v>
      </c>
      <c r="B689" t="s">
        <v>46</v>
      </c>
      <c r="C689" t="s">
        <v>48</v>
      </c>
      <c r="D689" t="s">
        <v>36</v>
      </c>
      <c r="E689" t="s">
        <v>83</v>
      </c>
    </row>
    <row r="690" spans="1:5" x14ac:dyDescent="0.2">
      <c r="A690" t="s">
        <v>1351</v>
      </c>
      <c r="B690" t="s">
        <v>46</v>
      </c>
      <c r="C690" t="s">
        <v>52</v>
      </c>
      <c r="D690" t="s">
        <v>36</v>
      </c>
      <c r="E690" t="s">
        <v>85</v>
      </c>
    </row>
    <row r="691" spans="1:5" x14ac:dyDescent="0.2">
      <c r="A691" t="s">
        <v>1352</v>
      </c>
      <c r="B691" t="s">
        <v>46</v>
      </c>
      <c r="C691" t="s">
        <v>52</v>
      </c>
      <c r="D691" t="s">
        <v>1343</v>
      </c>
      <c r="E691" t="s">
        <v>87</v>
      </c>
    </row>
    <row r="692" spans="1:5" x14ac:dyDescent="0.2">
      <c r="A692" t="s">
        <v>1353</v>
      </c>
      <c r="B692" t="s">
        <v>46</v>
      </c>
      <c r="C692" t="s">
        <v>61</v>
      </c>
      <c r="D692" t="s">
        <v>36</v>
      </c>
      <c r="E692" t="s">
        <v>89</v>
      </c>
    </row>
    <row r="693" spans="1:5" x14ac:dyDescent="0.2">
      <c r="A693" t="s">
        <v>1354</v>
      </c>
      <c r="B693" t="s">
        <v>46</v>
      </c>
      <c r="C693" t="s">
        <v>65</v>
      </c>
      <c r="D693" t="s">
        <v>36</v>
      </c>
      <c r="E693" t="s">
        <v>91</v>
      </c>
    </row>
    <row r="694" spans="1:5" x14ac:dyDescent="0.2">
      <c r="A694" t="s">
        <v>1355</v>
      </c>
      <c r="B694" t="s">
        <v>46</v>
      </c>
      <c r="C694" t="s">
        <v>69</v>
      </c>
      <c r="D694" t="s">
        <v>36</v>
      </c>
      <c r="E694" t="s">
        <v>93</v>
      </c>
    </row>
    <row r="695" spans="1:5" x14ac:dyDescent="0.2">
      <c r="A695" t="s">
        <v>1356</v>
      </c>
      <c r="B695" t="s">
        <v>46</v>
      </c>
      <c r="C695" t="s">
        <v>73</v>
      </c>
      <c r="D695" t="s">
        <v>36</v>
      </c>
      <c r="E695" t="s">
        <v>95</v>
      </c>
    </row>
    <row r="696" spans="1:5" x14ac:dyDescent="0.2">
      <c r="A696" t="s">
        <v>1357</v>
      </c>
      <c r="B696" t="s">
        <v>46</v>
      </c>
      <c r="C696" t="s">
        <v>52</v>
      </c>
      <c r="D696" t="s">
        <v>1343</v>
      </c>
      <c r="E696" t="s">
        <v>97</v>
      </c>
    </row>
    <row r="697" spans="1:5" x14ac:dyDescent="0.2">
      <c r="A697" t="s">
        <v>1358</v>
      </c>
      <c r="B697" t="s">
        <v>80</v>
      </c>
      <c r="C697" t="s">
        <v>7685</v>
      </c>
      <c r="D697" t="s">
        <v>7686</v>
      </c>
    </row>
    <row r="698" spans="1:5" x14ac:dyDescent="0.2">
      <c r="A698" t="s">
        <v>1359</v>
      </c>
      <c r="B698" t="s">
        <v>7686</v>
      </c>
      <c r="C698" t="s">
        <v>7687</v>
      </c>
      <c r="D698" t="s">
        <v>36</v>
      </c>
      <c r="E698" t="s">
        <v>1360</v>
      </c>
    </row>
    <row r="699" spans="1:5" x14ac:dyDescent="0.2">
      <c r="A699" t="s">
        <v>1361</v>
      </c>
      <c r="B699" t="s">
        <v>7686</v>
      </c>
      <c r="C699" t="s">
        <v>7688</v>
      </c>
      <c r="D699" t="s">
        <v>36</v>
      </c>
      <c r="E699" t="s">
        <v>1362</v>
      </c>
    </row>
    <row r="700" spans="1:5" x14ac:dyDescent="0.2">
      <c r="A700" t="s">
        <v>1363</v>
      </c>
      <c r="B700" t="s">
        <v>7686</v>
      </c>
      <c r="C700" t="s">
        <v>7689</v>
      </c>
      <c r="D700" t="s">
        <v>36</v>
      </c>
      <c r="E700" t="s">
        <v>1364</v>
      </c>
    </row>
    <row r="701" spans="1:5" x14ac:dyDescent="0.2">
      <c r="A701" t="s">
        <v>1365</v>
      </c>
      <c r="B701" t="s">
        <v>7686</v>
      </c>
      <c r="C701" t="s">
        <v>7690</v>
      </c>
      <c r="D701" t="s">
        <v>36</v>
      </c>
      <c r="E701" t="s">
        <v>1366</v>
      </c>
    </row>
    <row r="702" spans="1:5" x14ac:dyDescent="0.2">
      <c r="A702" t="s">
        <v>1367</v>
      </c>
      <c r="B702" t="s">
        <v>7686</v>
      </c>
      <c r="C702" t="s">
        <v>7691</v>
      </c>
      <c r="D702" t="s">
        <v>36</v>
      </c>
      <c r="E702" t="s">
        <v>114</v>
      </c>
    </row>
    <row r="703" spans="1:5" x14ac:dyDescent="0.2">
      <c r="A703" t="s">
        <v>1368</v>
      </c>
      <c r="B703" t="s">
        <v>7686</v>
      </c>
      <c r="C703" t="s">
        <v>7692</v>
      </c>
      <c r="D703" t="s">
        <v>36</v>
      </c>
      <c r="E703" t="s">
        <v>1369</v>
      </c>
    </row>
    <row r="704" spans="1:5" x14ac:dyDescent="0.2">
      <c r="A704" t="s">
        <v>1370</v>
      </c>
      <c r="B704" t="s">
        <v>80</v>
      </c>
      <c r="C704" t="s">
        <v>120</v>
      </c>
      <c r="D704" t="s">
        <v>36</v>
      </c>
      <c r="E704" t="s">
        <v>1371</v>
      </c>
    </row>
    <row r="705" spans="1:5" x14ac:dyDescent="0.2">
      <c r="A705" t="s">
        <v>1372</v>
      </c>
      <c r="B705" t="s">
        <v>124</v>
      </c>
      <c r="C705" t="s">
        <v>125</v>
      </c>
      <c r="D705" t="s">
        <v>36</v>
      </c>
      <c r="E705" t="s">
        <v>1373</v>
      </c>
    </row>
    <row r="706" spans="1:5" x14ac:dyDescent="0.2">
      <c r="A706" t="s">
        <v>1374</v>
      </c>
      <c r="B706" t="s">
        <v>80</v>
      </c>
      <c r="C706" t="s">
        <v>129</v>
      </c>
      <c r="D706" t="s">
        <v>36</v>
      </c>
      <c r="E706" t="s">
        <v>1375</v>
      </c>
    </row>
    <row r="707" spans="1:5" x14ac:dyDescent="0.2">
      <c r="A707" t="s">
        <v>1376</v>
      </c>
      <c r="B707" t="s">
        <v>80</v>
      </c>
      <c r="C707" t="s">
        <v>133</v>
      </c>
      <c r="D707" t="s">
        <v>36</v>
      </c>
      <c r="E707" t="s">
        <v>1377</v>
      </c>
    </row>
    <row r="708" spans="1:5" x14ac:dyDescent="0.2">
      <c r="A708" t="s">
        <v>1378</v>
      </c>
      <c r="B708" t="s">
        <v>124</v>
      </c>
      <c r="C708" t="s">
        <v>137</v>
      </c>
      <c r="D708" t="s">
        <v>36</v>
      </c>
      <c r="E708" t="s">
        <v>1379</v>
      </c>
    </row>
    <row r="709" spans="1:5" x14ac:dyDescent="0.2">
      <c r="A709" t="s">
        <v>1380</v>
      </c>
      <c r="B709" t="s">
        <v>80</v>
      </c>
      <c r="C709" t="s">
        <v>142</v>
      </c>
      <c r="D709" t="s">
        <v>143</v>
      </c>
      <c r="E709" t="s">
        <v>1381</v>
      </c>
    </row>
    <row r="710" spans="1:5" x14ac:dyDescent="0.2">
      <c r="A710" t="s">
        <v>1382</v>
      </c>
      <c r="B710" t="s">
        <v>80</v>
      </c>
      <c r="C710" t="s">
        <v>147</v>
      </c>
      <c r="D710" t="s">
        <v>143</v>
      </c>
      <c r="E710" t="s">
        <v>1383</v>
      </c>
    </row>
    <row r="711" spans="1:5" x14ac:dyDescent="0.2">
      <c r="A711" t="s">
        <v>1384</v>
      </c>
      <c r="B711" t="s">
        <v>80</v>
      </c>
      <c r="C711" t="s">
        <v>151</v>
      </c>
      <c r="D711" t="s">
        <v>143</v>
      </c>
      <c r="E711" t="s">
        <v>1385</v>
      </c>
    </row>
    <row r="712" spans="1:5" ht="16" x14ac:dyDescent="0.2">
      <c r="A712" t="s">
        <v>1386</v>
      </c>
      <c r="B712" s="27"/>
      <c r="C712" s="27" t="s">
        <v>155</v>
      </c>
      <c r="D712" s="27"/>
      <c r="E712" t="s">
        <v>1387</v>
      </c>
    </row>
    <row r="713" spans="1:5" x14ac:dyDescent="0.2">
      <c r="A713" t="s">
        <v>1388</v>
      </c>
      <c r="B713" t="s">
        <v>124</v>
      </c>
      <c r="C713" t="s">
        <v>159</v>
      </c>
      <c r="D713" t="s">
        <v>160</v>
      </c>
      <c r="E713" t="s">
        <v>161</v>
      </c>
    </row>
    <row r="714" spans="1:5" x14ac:dyDescent="0.2">
      <c r="A714" t="s">
        <v>1389</v>
      </c>
      <c r="B714" t="s">
        <v>80</v>
      </c>
      <c r="C714" t="s">
        <v>164</v>
      </c>
      <c r="D714" t="s">
        <v>165</v>
      </c>
    </row>
    <row r="715" spans="1:5" x14ac:dyDescent="0.2">
      <c r="A715" t="s">
        <v>1390</v>
      </c>
      <c r="B715" t="s">
        <v>165</v>
      </c>
      <c r="C715" t="s">
        <v>168</v>
      </c>
      <c r="D715" t="s">
        <v>169</v>
      </c>
    </row>
    <row r="716" spans="1:5" x14ac:dyDescent="0.2">
      <c r="A716" t="s">
        <v>1391</v>
      </c>
      <c r="B716" t="s">
        <v>169</v>
      </c>
      <c r="C716" t="s">
        <v>172</v>
      </c>
      <c r="D716" t="s">
        <v>36</v>
      </c>
      <c r="E716" t="s">
        <v>1392</v>
      </c>
    </row>
    <row r="717" spans="1:5" x14ac:dyDescent="0.2">
      <c r="A717" t="s">
        <v>1393</v>
      </c>
      <c r="B717" t="s">
        <v>169</v>
      </c>
      <c r="C717" t="s">
        <v>175</v>
      </c>
      <c r="D717" t="s">
        <v>176</v>
      </c>
      <c r="E717" t="s">
        <v>1394</v>
      </c>
    </row>
    <row r="718" spans="1:5" x14ac:dyDescent="0.2">
      <c r="A718" t="s">
        <v>1395</v>
      </c>
      <c r="B718" t="s">
        <v>169</v>
      </c>
      <c r="C718" t="s">
        <v>180</v>
      </c>
      <c r="D718" t="s">
        <v>36</v>
      </c>
      <c r="E718" t="s">
        <v>181</v>
      </c>
    </row>
    <row r="719" spans="1:5" x14ac:dyDescent="0.2">
      <c r="A719" t="s">
        <v>1396</v>
      </c>
      <c r="B719" t="s">
        <v>165</v>
      </c>
      <c r="C719" t="s">
        <v>180</v>
      </c>
      <c r="D719" t="s">
        <v>36</v>
      </c>
      <c r="E719" t="s">
        <v>184</v>
      </c>
    </row>
    <row r="720" spans="1:5" x14ac:dyDescent="0.2">
      <c r="A720" t="s">
        <v>1397</v>
      </c>
      <c r="B720" t="s">
        <v>165</v>
      </c>
      <c r="C720" t="s">
        <v>187</v>
      </c>
      <c r="D720" t="s">
        <v>36</v>
      </c>
      <c r="E720" t="s">
        <v>1398</v>
      </c>
    </row>
    <row r="721" spans="1:5" x14ac:dyDescent="0.2">
      <c r="A721" t="s">
        <v>1399</v>
      </c>
      <c r="B721" t="s">
        <v>25</v>
      </c>
      <c r="C721" t="s">
        <v>26</v>
      </c>
      <c r="D721" t="s">
        <v>191</v>
      </c>
      <c r="E721" t="s">
        <v>1400</v>
      </c>
    </row>
    <row r="722" spans="1:5" x14ac:dyDescent="0.2">
      <c r="A722" t="s">
        <v>1401</v>
      </c>
      <c r="B722" t="s">
        <v>25</v>
      </c>
      <c r="C722" t="s">
        <v>26</v>
      </c>
      <c r="D722" t="s">
        <v>195</v>
      </c>
      <c r="E722" t="s">
        <v>1402</v>
      </c>
    </row>
    <row r="723" spans="1:5" x14ac:dyDescent="0.2">
      <c r="A723" t="s">
        <v>1403</v>
      </c>
      <c r="B723" t="s">
        <v>80</v>
      </c>
      <c r="C723" t="s">
        <v>202</v>
      </c>
      <c r="D723" t="s">
        <v>36</v>
      </c>
      <c r="E723" t="s">
        <v>1404</v>
      </c>
    </row>
    <row r="724" spans="1:5" x14ac:dyDescent="0.2">
      <c r="A724" t="s">
        <v>1405</v>
      </c>
      <c r="B724" t="s">
        <v>80</v>
      </c>
      <c r="C724" t="s">
        <v>206</v>
      </c>
      <c r="D724" t="s">
        <v>207</v>
      </c>
    </row>
    <row r="725" spans="1:5" x14ac:dyDescent="0.2">
      <c r="A725" t="s">
        <v>1406</v>
      </c>
      <c r="B725" t="s">
        <v>207</v>
      </c>
      <c r="C725" t="s">
        <v>210</v>
      </c>
      <c r="D725" t="s">
        <v>36</v>
      </c>
      <c r="E725" t="s">
        <v>211</v>
      </c>
    </row>
    <row r="726" spans="1:5" x14ac:dyDescent="0.2">
      <c r="A726" t="s">
        <v>1407</v>
      </c>
      <c r="B726" t="s">
        <v>207</v>
      </c>
      <c r="C726" t="s">
        <v>214</v>
      </c>
      <c r="D726" t="s">
        <v>36</v>
      </c>
      <c r="E726" t="s">
        <v>215</v>
      </c>
    </row>
    <row r="727" spans="1:5" x14ac:dyDescent="0.2">
      <c r="A727" t="s">
        <v>1408</v>
      </c>
      <c r="B727" t="s">
        <v>207</v>
      </c>
      <c r="C727" t="s">
        <v>218</v>
      </c>
      <c r="D727" t="s">
        <v>36</v>
      </c>
      <c r="E727" t="s">
        <v>219</v>
      </c>
    </row>
    <row r="728" spans="1:5" x14ac:dyDescent="0.2">
      <c r="A728" t="s">
        <v>1409</v>
      </c>
      <c r="B728" t="s">
        <v>80</v>
      </c>
      <c r="C728" t="s">
        <v>221</v>
      </c>
      <c r="D728" t="s">
        <v>160</v>
      </c>
      <c r="E728" t="s">
        <v>222</v>
      </c>
    </row>
    <row r="729" spans="1:5" x14ac:dyDescent="0.2">
      <c r="A729" t="s">
        <v>1410</v>
      </c>
      <c r="B729" t="s">
        <v>80</v>
      </c>
      <c r="C729" t="s">
        <v>224</v>
      </c>
      <c r="D729" t="s">
        <v>225</v>
      </c>
    </row>
    <row r="730" spans="1:5" x14ac:dyDescent="0.2">
      <c r="A730" t="s">
        <v>1411</v>
      </c>
      <c r="B730" t="s">
        <v>225</v>
      </c>
      <c r="C730" t="s">
        <v>228</v>
      </c>
      <c r="D730" t="s">
        <v>229</v>
      </c>
      <c r="E730" t="s">
        <v>1412</v>
      </c>
    </row>
    <row r="731" spans="1:5" x14ac:dyDescent="0.2">
      <c r="A731" t="s">
        <v>1413</v>
      </c>
      <c r="B731" t="s">
        <v>225</v>
      </c>
      <c r="C731" t="s">
        <v>233</v>
      </c>
      <c r="D731" t="s">
        <v>234</v>
      </c>
      <c r="E731" t="s">
        <v>1414</v>
      </c>
    </row>
    <row r="732" spans="1:5" x14ac:dyDescent="0.2">
      <c r="A732" t="s">
        <v>1415</v>
      </c>
      <c r="B732" t="s">
        <v>124</v>
      </c>
      <c r="C732" t="s">
        <v>238</v>
      </c>
      <c r="D732" t="s">
        <v>239</v>
      </c>
      <c r="E732" t="s">
        <v>240</v>
      </c>
    </row>
    <row r="733" spans="1:5" x14ac:dyDescent="0.2">
      <c r="A733" t="s">
        <v>1416</v>
      </c>
      <c r="C733" t="s">
        <v>243</v>
      </c>
      <c r="E733" t="s">
        <v>244</v>
      </c>
    </row>
    <row r="734" spans="1:5" x14ac:dyDescent="0.2">
      <c r="A734" t="s">
        <v>1417</v>
      </c>
      <c r="B734" t="s">
        <v>124</v>
      </c>
      <c r="C734" t="s">
        <v>238</v>
      </c>
      <c r="D734" t="s">
        <v>246</v>
      </c>
      <c r="E734" t="s">
        <v>247</v>
      </c>
    </row>
    <row r="735" spans="1:5" x14ac:dyDescent="0.2">
      <c r="A735" t="s">
        <v>1418</v>
      </c>
      <c r="C735" t="s">
        <v>243</v>
      </c>
      <c r="E735" t="s">
        <v>249</v>
      </c>
    </row>
    <row r="736" spans="1:5" x14ac:dyDescent="0.2">
      <c r="A736" t="s">
        <v>1419</v>
      </c>
      <c r="B736" t="s">
        <v>124</v>
      </c>
      <c r="C736" t="s">
        <v>238</v>
      </c>
      <c r="D736" t="s">
        <v>251</v>
      </c>
      <c r="E736" t="s">
        <v>252</v>
      </c>
    </row>
    <row r="737" spans="1:5" x14ac:dyDescent="0.2">
      <c r="A737" t="s">
        <v>1420</v>
      </c>
      <c r="C737" t="s">
        <v>243</v>
      </c>
      <c r="E737" t="s">
        <v>254</v>
      </c>
    </row>
    <row r="738" spans="1:5" x14ac:dyDescent="0.2">
      <c r="A738" t="s">
        <v>1421</v>
      </c>
      <c r="B738" t="s">
        <v>124</v>
      </c>
      <c r="C738" t="s">
        <v>238</v>
      </c>
      <c r="D738" t="s">
        <v>257</v>
      </c>
      <c r="E738" t="s">
        <v>258</v>
      </c>
    </row>
    <row r="739" spans="1:5" x14ac:dyDescent="0.2">
      <c r="A739" t="s">
        <v>1422</v>
      </c>
      <c r="C739" t="s">
        <v>243</v>
      </c>
      <c r="E739" t="s">
        <v>261</v>
      </c>
    </row>
    <row r="740" spans="1:5" x14ac:dyDescent="0.2">
      <c r="A740" t="s">
        <v>1423</v>
      </c>
      <c r="B740" t="s">
        <v>124</v>
      </c>
      <c r="C740" t="s">
        <v>238</v>
      </c>
      <c r="D740" t="s">
        <v>264</v>
      </c>
      <c r="E740" t="s">
        <v>265</v>
      </c>
    </row>
    <row r="741" spans="1:5" x14ac:dyDescent="0.2">
      <c r="A741" t="s">
        <v>1424</v>
      </c>
      <c r="C741" t="s">
        <v>243</v>
      </c>
      <c r="E741" t="s">
        <v>268</v>
      </c>
    </row>
    <row r="742" spans="1:5" x14ac:dyDescent="0.2">
      <c r="A742" t="s">
        <v>1425</v>
      </c>
      <c r="B742" t="s">
        <v>276</v>
      </c>
      <c r="C742" t="s">
        <v>271</v>
      </c>
      <c r="D742" t="s">
        <v>272</v>
      </c>
      <c r="E742" t="s">
        <v>1426</v>
      </c>
    </row>
    <row r="743" spans="1:5" x14ac:dyDescent="0.2">
      <c r="A743" t="s">
        <v>1427</v>
      </c>
      <c r="B743" t="s">
        <v>276</v>
      </c>
      <c r="C743" t="s">
        <v>277</v>
      </c>
      <c r="D743" t="s">
        <v>36</v>
      </c>
      <c r="E743" t="s">
        <v>1428</v>
      </c>
    </row>
    <row r="744" spans="1:5" x14ac:dyDescent="0.2">
      <c r="A744" t="s">
        <v>1429</v>
      </c>
      <c r="B744" t="s">
        <v>276</v>
      </c>
      <c r="C744" t="s">
        <v>281</v>
      </c>
      <c r="D744" t="s">
        <v>36</v>
      </c>
      <c r="E744" t="s">
        <v>1430</v>
      </c>
    </row>
    <row r="745" spans="1:5" x14ac:dyDescent="0.2">
      <c r="A745" t="s">
        <v>1431</v>
      </c>
      <c r="B745" t="s">
        <v>25</v>
      </c>
      <c r="C745" t="s">
        <v>26</v>
      </c>
      <c r="D745" t="s">
        <v>285</v>
      </c>
      <c r="E745" t="s">
        <v>286</v>
      </c>
    </row>
    <row r="746" spans="1:5" x14ac:dyDescent="0.2">
      <c r="A746" t="s">
        <v>1432</v>
      </c>
      <c r="B746" t="s">
        <v>80</v>
      </c>
      <c r="C746" t="s">
        <v>289</v>
      </c>
      <c r="D746" t="s">
        <v>143</v>
      </c>
      <c r="E746" t="s">
        <v>290</v>
      </c>
    </row>
    <row r="747" spans="1:5" x14ac:dyDescent="0.2">
      <c r="A747" t="s">
        <v>1433</v>
      </c>
      <c r="B747" t="s">
        <v>80</v>
      </c>
      <c r="C747" t="s">
        <v>293</v>
      </c>
      <c r="D747" t="s">
        <v>36</v>
      </c>
      <c r="E747" t="s">
        <v>294</v>
      </c>
    </row>
    <row r="748" spans="1:5" ht="16" x14ac:dyDescent="0.2">
      <c r="A748" t="s">
        <v>1434</v>
      </c>
      <c r="B748" s="27"/>
      <c r="C748" s="27" t="s">
        <v>155</v>
      </c>
      <c r="D748" s="27"/>
      <c r="E748" t="s">
        <v>297</v>
      </c>
    </row>
    <row r="749" spans="1:5" x14ac:dyDescent="0.2">
      <c r="A749" t="s">
        <v>1435</v>
      </c>
      <c r="B749" t="s">
        <v>25</v>
      </c>
      <c r="C749" t="s">
        <v>300</v>
      </c>
      <c r="D749" t="s">
        <v>301</v>
      </c>
      <c r="E749" t="s">
        <v>302</v>
      </c>
    </row>
    <row r="750" spans="1:5" x14ac:dyDescent="0.2">
      <c r="A750" t="s">
        <v>1436</v>
      </c>
      <c r="B750" t="s">
        <v>80</v>
      </c>
      <c r="C750" t="s">
        <v>1322</v>
      </c>
      <c r="D750" t="s">
        <v>1323</v>
      </c>
    </row>
    <row r="751" spans="1:5" x14ac:dyDescent="0.2">
      <c r="A751" t="s">
        <v>1437</v>
      </c>
      <c r="B751" t="s">
        <v>1323</v>
      </c>
      <c r="C751" t="s">
        <v>1325</v>
      </c>
      <c r="D751" t="s">
        <v>36</v>
      </c>
      <c r="E751" t="s">
        <v>1326</v>
      </c>
    </row>
    <row r="752" spans="1:5" x14ac:dyDescent="0.2">
      <c r="A752" t="s">
        <v>1438</v>
      </c>
      <c r="B752" t="s">
        <v>1323</v>
      </c>
      <c r="C752" t="s">
        <v>1328</v>
      </c>
      <c r="D752" t="s">
        <v>36</v>
      </c>
      <c r="E752" t="s">
        <v>1329</v>
      </c>
    </row>
    <row r="753" spans="1:5" x14ac:dyDescent="0.2">
      <c r="A753" t="s">
        <v>1439</v>
      </c>
      <c r="B753" t="s">
        <v>1323</v>
      </c>
      <c r="C753" t="s">
        <v>1331</v>
      </c>
      <c r="D753" t="s">
        <v>160</v>
      </c>
      <c r="E753" t="s">
        <v>1332</v>
      </c>
    </row>
    <row r="754" spans="1:5" x14ac:dyDescent="0.2">
      <c r="A754" t="s">
        <v>1440</v>
      </c>
      <c r="B754" t="s">
        <v>961</v>
      </c>
      <c r="C754" t="s">
        <v>26</v>
      </c>
      <c r="D754" t="s">
        <v>27</v>
      </c>
      <c r="E754" t="s">
        <v>1441</v>
      </c>
    </row>
    <row r="755" spans="1:5" x14ac:dyDescent="0.2">
      <c r="A755" t="s">
        <v>1442</v>
      </c>
      <c r="B755" t="s">
        <v>961</v>
      </c>
      <c r="C755" t="s">
        <v>1005</v>
      </c>
      <c r="D755" t="s">
        <v>36</v>
      </c>
      <c r="E755" t="s">
        <v>1006</v>
      </c>
    </row>
    <row r="756" spans="1:5" x14ac:dyDescent="0.2">
      <c r="A756" t="s">
        <v>1443</v>
      </c>
      <c r="B756" t="s">
        <v>961</v>
      </c>
      <c r="C756" t="s">
        <v>964</v>
      </c>
      <c r="D756" t="s">
        <v>36</v>
      </c>
      <c r="E756" t="s">
        <v>1009</v>
      </c>
    </row>
    <row r="757" spans="1:5" x14ac:dyDescent="0.2">
      <c r="A757" t="s">
        <v>1444</v>
      </c>
      <c r="B757" t="s">
        <v>961</v>
      </c>
      <c r="C757" t="s">
        <v>968</v>
      </c>
      <c r="D757" t="s">
        <v>36</v>
      </c>
      <c r="E757" t="s">
        <v>1012</v>
      </c>
    </row>
    <row r="758" spans="1:5" x14ac:dyDescent="0.2">
      <c r="A758" t="s">
        <v>1445</v>
      </c>
      <c r="B758" t="s">
        <v>961</v>
      </c>
      <c r="C758" t="s">
        <v>972</v>
      </c>
      <c r="D758" t="s">
        <v>36</v>
      </c>
      <c r="E758" t="s">
        <v>1015</v>
      </c>
    </row>
    <row r="759" spans="1:5" x14ac:dyDescent="0.2">
      <c r="A759" t="s">
        <v>1446</v>
      </c>
      <c r="B759" t="s">
        <v>961</v>
      </c>
      <c r="C759" t="s">
        <v>976</v>
      </c>
      <c r="D759" t="s">
        <v>160</v>
      </c>
      <c r="E759" t="s">
        <v>1018</v>
      </c>
    </row>
    <row r="760" spans="1:5" x14ac:dyDescent="0.2">
      <c r="A760" t="s">
        <v>1447</v>
      </c>
      <c r="B760" t="s">
        <v>961</v>
      </c>
      <c r="C760" t="s">
        <v>980</v>
      </c>
      <c r="D760" t="s">
        <v>176</v>
      </c>
      <c r="E760" t="s">
        <v>1021</v>
      </c>
    </row>
    <row r="761" spans="1:5" x14ac:dyDescent="0.2">
      <c r="A761" t="s">
        <v>1448</v>
      </c>
      <c r="B761" t="s">
        <v>961</v>
      </c>
      <c r="C761" t="s">
        <v>980</v>
      </c>
      <c r="D761" t="s">
        <v>176</v>
      </c>
      <c r="E761" t="s">
        <v>1021</v>
      </c>
    </row>
    <row r="762" spans="1:5" x14ac:dyDescent="0.2">
      <c r="A762" t="s">
        <v>1449</v>
      </c>
      <c r="B762" t="s">
        <v>25</v>
      </c>
      <c r="C762" t="s">
        <v>45</v>
      </c>
      <c r="D762" t="s">
        <v>46</v>
      </c>
    </row>
    <row r="763" spans="1:5" x14ac:dyDescent="0.2">
      <c r="A763" t="s">
        <v>1450</v>
      </c>
      <c r="B763" t="s">
        <v>46</v>
      </c>
      <c r="C763" t="s">
        <v>48</v>
      </c>
      <c r="D763" t="s">
        <v>36</v>
      </c>
      <c r="E763" t="s">
        <v>1451</v>
      </c>
    </row>
    <row r="764" spans="1:5" x14ac:dyDescent="0.2">
      <c r="A764" t="s">
        <v>1452</v>
      </c>
      <c r="B764" t="s">
        <v>46</v>
      </c>
      <c r="C764" t="s">
        <v>52</v>
      </c>
      <c r="D764" t="s">
        <v>36</v>
      </c>
      <c r="E764" t="s">
        <v>1453</v>
      </c>
    </row>
    <row r="765" spans="1:5" x14ac:dyDescent="0.2">
      <c r="A765" t="s">
        <v>1454</v>
      </c>
      <c r="B765" t="s">
        <v>46</v>
      </c>
      <c r="C765" t="s">
        <v>52</v>
      </c>
      <c r="D765" t="s">
        <v>1343</v>
      </c>
      <c r="E765" t="s">
        <v>1455</v>
      </c>
    </row>
    <row r="766" spans="1:5" x14ac:dyDescent="0.2">
      <c r="A766" t="s">
        <v>1456</v>
      </c>
      <c r="B766" t="s">
        <v>46</v>
      </c>
      <c r="C766" t="s">
        <v>61</v>
      </c>
      <c r="D766" t="s">
        <v>36</v>
      </c>
      <c r="E766" t="s">
        <v>1457</v>
      </c>
    </row>
    <row r="767" spans="1:5" x14ac:dyDescent="0.2">
      <c r="A767" t="s">
        <v>1458</v>
      </c>
      <c r="B767" t="s">
        <v>46</v>
      </c>
      <c r="C767" t="s">
        <v>65</v>
      </c>
      <c r="D767" t="s">
        <v>36</v>
      </c>
      <c r="E767" t="s">
        <v>1459</v>
      </c>
    </row>
    <row r="768" spans="1:5" x14ac:dyDescent="0.2">
      <c r="A768" t="s">
        <v>1460</v>
      </c>
      <c r="B768" t="s">
        <v>46</v>
      </c>
      <c r="C768" t="s">
        <v>69</v>
      </c>
      <c r="D768" t="s">
        <v>36</v>
      </c>
      <c r="E768" t="s">
        <v>1461</v>
      </c>
    </row>
    <row r="769" spans="1:5" x14ac:dyDescent="0.2">
      <c r="A769" t="s">
        <v>1462</v>
      </c>
      <c r="B769" t="s">
        <v>46</v>
      </c>
      <c r="C769" t="s">
        <v>73</v>
      </c>
      <c r="D769" t="s">
        <v>36</v>
      </c>
      <c r="E769" t="s">
        <v>1463</v>
      </c>
    </row>
    <row r="770" spans="1:5" x14ac:dyDescent="0.2">
      <c r="A770" t="s">
        <v>1464</v>
      </c>
      <c r="B770" t="s">
        <v>46</v>
      </c>
      <c r="C770" t="s">
        <v>52</v>
      </c>
      <c r="D770" t="s">
        <v>1343</v>
      </c>
      <c r="E770" t="s">
        <v>1465</v>
      </c>
    </row>
    <row r="771" spans="1:5" x14ac:dyDescent="0.2">
      <c r="A771" t="s">
        <v>1466</v>
      </c>
      <c r="B771" t="s">
        <v>80</v>
      </c>
      <c r="C771" t="s">
        <v>81</v>
      </c>
      <c r="D771" t="s">
        <v>46</v>
      </c>
    </row>
    <row r="772" spans="1:5" x14ac:dyDescent="0.2">
      <c r="A772" t="s">
        <v>1467</v>
      </c>
      <c r="B772" t="s">
        <v>46</v>
      </c>
      <c r="C772" t="s">
        <v>48</v>
      </c>
      <c r="D772" t="s">
        <v>36</v>
      </c>
      <c r="E772" t="s">
        <v>1468</v>
      </c>
    </row>
    <row r="773" spans="1:5" x14ac:dyDescent="0.2">
      <c r="A773" t="s">
        <v>1469</v>
      </c>
      <c r="B773" t="s">
        <v>46</v>
      </c>
      <c r="C773" t="s">
        <v>52</v>
      </c>
      <c r="D773" t="s">
        <v>36</v>
      </c>
      <c r="E773" t="s">
        <v>1470</v>
      </c>
    </row>
    <row r="774" spans="1:5" x14ac:dyDescent="0.2">
      <c r="A774" t="s">
        <v>1471</v>
      </c>
      <c r="B774" t="s">
        <v>46</v>
      </c>
      <c r="C774" t="s">
        <v>52</v>
      </c>
      <c r="D774" t="s">
        <v>1343</v>
      </c>
      <c r="E774" t="s">
        <v>1472</v>
      </c>
    </row>
    <row r="775" spans="1:5" x14ac:dyDescent="0.2">
      <c r="A775" t="s">
        <v>1473</v>
      </c>
      <c r="B775" t="s">
        <v>46</v>
      </c>
      <c r="C775" t="s">
        <v>61</v>
      </c>
      <c r="D775" t="s">
        <v>36</v>
      </c>
      <c r="E775" t="s">
        <v>1474</v>
      </c>
    </row>
    <row r="776" spans="1:5" x14ac:dyDescent="0.2">
      <c r="A776" t="s">
        <v>1475</v>
      </c>
      <c r="B776" t="s">
        <v>46</v>
      </c>
      <c r="C776" t="s">
        <v>65</v>
      </c>
      <c r="D776" t="s">
        <v>36</v>
      </c>
      <c r="E776" t="s">
        <v>1476</v>
      </c>
    </row>
    <row r="777" spans="1:5" x14ac:dyDescent="0.2">
      <c r="A777" t="s">
        <v>1477</v>
      </c>
      <c r="B777" t="s">
        <v>46</v>
      </c>
      <c r="C777" t="s">
        <v>69</v>
      </c>
      <c r="D777" t="s">
        <v>36</v>
      </c>
      <c r="E777" t="s">
        <v>1478</v>
      </c>
    </row>
    <row r="778" spans="1:5" x14ac:dyDescent="0.2">
      <c r="A778" t="s">
        <v>1479</v>
      </c>
      <c r="B778" t="s">
        <v>46</v>
      </c>
      <c r="C778" t="s">
        <v>73</v>
      </c>
      <c r="D778" t="s">
        <v>36</v>
      </c>
      <c r="E778" t="s">
        <v>1480</v>
      </c>
    </row>
    <row r="779" spans="1:5" x14ac:dyDescent="0.2">
      <c r="A779" t="s">
        <v>1481</v>
      </c>
      <c r="B779" t="s">
        <v>46</v>
      </c>
      <c r="C779" t="s">
        <v>52</v>
      </c>
      <c r="D779" t="s">
        <v>1343</v>
      </c>
      <c r="E779" t="s">
        <v>1482</v>
      </c>
    </row>
  </sheetData>
  <autoFilter ref="A1:W605" xr:uid="{00000000-0009-0000-0000-000000000000}"/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opLeftCell="B10" workbookViewId="0">
      <selection activeCell="B19" sqref="B19"/>
    </sheetView>
  </sheetViews>
  <sheetFormatPr baseColWidth="10" defaultRowHeight="15" x14ac:dyDescent="0.2"/>
  <cols>
    <col min="1" max="1" width="0" hidden="1"/>
    <col min="2" max="2" width="41.5" bestFit="1" customWidth="1"/>
  </cols>
  <sheetData>
    <row r="1" spans="1:3" x14ac:dyDescent="0.2">
      <c r="A1" t="s">
        <v>1483</v>
      </c>
      <c r="B1" t="s">
        <v>1484</v>
      </c>
      <c r="C1" t="s">
        <v>1485</v>
      </c>
    </row>
    <row r="2" spans="1:3" x14ac:dyDescent="0.2">
      <c r="A2">
        <v>4</v>
      </c>
      <c r="B2" t="s">
        <v>1486</v>
      </c>
      <c r="C2" t="s">
        <v>1487</v>
      </c>
    </row>
    <row r="3" spans="1:3" x14ac:dyDescent="0.2">
      <c r="A3">
        <v>818</v>
      </c>
      <c r="B3" t="s">
        <v>1488</v>
      </c>
      <c r="C3" t="s">
        <v>1489</v>
      </c>
    </row>
    <row r="4" spans="1:3" x14ac:dyDescent="0.2">
      <c r="A4">
        <v>248</v>
      </c>
      <c r="B4" t="s">
        <v>1490</v>
      </c>
      <c r="C4" t="s">
        <v>1491</v>
      </c>
    </row>
    <row r="5" spans="1:3" x14ac:dyDescent="0.2">
      <c r="A5">
        <v>8</v>
      </c>
      <c r="B5" t="s">
        <v>1492</v>
      </c>
      <c r="C5" t="s">
        <v>1493</v>
      </c>
    </row>
    <row r="6" spans="1:3" x14ac:dyDescent="0.2">
      <c r="A6">
        <v>12</v>
      </c>
      <c r="B6" t="s">
        <v>1494</v>
      </c>
      <c r="C6" t="s">
        <v>1495</v>
      </c>
    </row>
    <row r="7" spans="1:3" x14ac:dyDescent="0.2">
      <c r="A7">
        <v>16</v>
      </c>
      <c r="B7" t="s">
        <v>1496</v>
      </c>
      <c r="C7" t="s">
        <v>1497</v>
      </c>
    </row>
    <row r="8" spans="1:3" x14ac:dyDescent="0.2">
      <c r="A8">
        <v>20</v>
      </c>
      <c r="B8" t="s">
        <v>1498</v>
      </c>
      <c r="C8" t="s">
        <v>1499</v>
      </c>
    </row>
    <row r="9" spans="1:3" x14ac:dyDescent="0.2">
      <c r="A9">
        <v>24</v>
      </c>
      <c r="B9" t="s">
        <v>1500</v>
      </c>
      <c r="C9" t="s">
        <v>1501</v>
      </c>
    </row>
    <row r="10" spans="1:3" x14ac:dyDescent="0.2">
      <c r="A10">
        <v>660</v>
      </c>
      <c r="B10" t="s">
        <v>1502</v>
      </c>
      <c r="C10" t="s">
        <v>1503</v>
      </c>
    </row>
    <row r="11" spans="1:3" x14ac:dyDescent="0.2">
      <c r="A11">
        <v>10</v>
      </c>
      <c r="B11" t="s">
        <v>1504</v>
      </c>
      <c r="C11" t="s">
        <v>1505</v>
      </c>
    </row>
    <row r="12" spans="1:3" x14ac:dyDescent="0.2">
      <c r="A12">
        <v>28</v>
      </c>
      <c r="B12" t="s">
        <v>1506</v>
      </c>
      <c r="C12" t="s">
        <v>1507</v>
      </c>
    </row>
    <row r="13" spans="1:3" x14ac:dyDescent="0.2">
      <c r="A13">
        <v>226</v>
      </c>
      <c r="B13" t="s">
        <v>1508</v>
      </c>
      <c r="C13" t="s">
        <v>1509</v>
      </c>
    </row>
    <row r="14" spans="1:3" x14ac:dyDescent="0.2">
      <c r="A14">
        <v>32</v>
      </c>
      <c r="B14" t="s">
        <v>1510</v>
      </c>
      <c r="C14" t="s">
        <v>1511</v>
      </c>
    </row>
    <row r="15" spans="1:3" x14ac:dyDescent="0.2">
      <c r="A15">
        <v>51</v>
      </c>
      <c r="B15" t="s">
        <v>1512</v>
      </c>
      <c r="C15" t="s">
        <v>1513</v>
      </c>
    </row>
    <row r="16" spans="1:3" x14ac:dyDescent="0.2">
      <c r="A16">
        <v>533</v>
      </c>
      <c r="B16" t="s">
        <v>1514</v>
      </c>
      <c r="C16" t="s">
        <v>1515</v>
      </c>
    </row>
    <row r="17" spans="1:3" x14ac:dyDescent="0.2">
      <c r="A17">
        <v>31</v>
      </c>
      <c r="B17" t="s">
        <v>1516</v>
      </c>
      <c r="C17" t="s">
        <v>1517</v>
      </c>
    </row>
    <row r="18" spans="1:3" x14ac:dyDescent="0.2">
      <c r="A18">
        <v>231</v>
      </c>
      <c r="B18" t="s">
        <v>1518</v>
      </c>
      <c r="C18" t="s">
        <v>1519</v>
      </c>
    </row>
    <row r="19" spans="1:3" x14ac:dyDescent="0.2">
      <c r="A19">
        <v>36</v>
      </c>
      <c r="B19" t="s">
        <v>1520</v>
      </c>
      <c r="C19" t="s">
        <v>1521</v>
      </c>
    </row>
    <row r="20" spans="1:3" x14ac:dyDescent="0.2">
      <c r="A20">
        <v>44</v>
      </c>
      <c r="B20" t="s">
        <v>1522</v>
      </c>
      <c r="C20" t="s">
        <v>1523</v>
      </c>
    </row>
    <row r="21" spans="1:3" x14ac:dyDescent="0.2">
      <c r="A21">
        <v>48</v>
      </c>
      <c r="B21" t="s">
        <v>1524</v>
      </c>
      <c r="C21" t="s">
        <v>1525</v>
      </c>
    </row>
    <row r="22" spans="1:3" x14ac:dyDescent="0.2">
      <c r="A22">
        <v>50</v>
      </c>
      <c r="B22" t="s">
        <v>1526</v>
      </c>
      <c r="C22" t="s">
        <v>1527</v>
      </c>
    </row>
    <row r="23" spans="1:3" x14ac:dyDescent="0.2">
      <c r="A23">
        <v>52</v>
      </c>
      <c r="B23" t="s">
        <v>1528</v>
      </c>
      <c r="C23" t="s">
        <v>1529</v>
      </c>
    </row>
    <row r="24" spans="1:3" x14ac:dyDescent="0.2">
      <c r="A24">
        <v>56</v>
      </c>
      <c r="B24" t="s">
        <v>1530</v>
      </c>
      <c r="C24" t="s">
        <v>1531</v>
      </c>
    </row>
    <row r="25" spans="1:3" x14ac:dyDescent="0.2">
      <c r="A25">
        <v>84</v>
      </c>
      <c r="B25" t="s">
        <v>1532</v>
      </c>
      <c r="C25" t="s">
        <v>1533</v>
      </c>
    </row>
    <row r="26" spans="1:3" x14ac:dyDescent="0.2">
      <c r="A26">
        <v>204</v>
      </c>
      <c r="B26" t="s">
        <v>1534</v>
      </c>
      <c r="C26" t="s">
        <v>1535</v>
      </c>
    </row>
    <row r="27" spans="1:3" x14ac:dyDescent="0.2">
      <c r="A27">
        <v>60</v>
      </c>
      <c r="B27" t="s">
        <v>1536</v>
      </c>
      <c r="C27" t="s">
        <v>1537</v>
      </c>
    </row>
    <row r="28" spans="1:3" x14ac:dyDescent="0.2">
      <c r="A28">
        <v>64</v>
      </c>
      <c r="B28" t="s">
        <v>1538</v>
      </c>
      <c r="C28" t="s">
        <v>1539</v>
      </c>
    </row>
    <row r="29" spans="1:3" x14ac:dyDescent="0.2">
      <c r="A29">
        <v>68</v>
      </c>
      <c r="B29" t="s">
        <v>1540</v>
      </c>
      <c r="C29" t="s">
        <v>1541</v>
      </c>
    </row>
    <row r="30" spans="1:3" x14ac:dyDescent="0.2">
      <c r="A30">
        <v>535</v>
      </c>
      <c r="B30" t="s">
        <v>1542</v>
      </c>
      <c r="C30" t="s">
        <v>1543</v>
      </c>
    </row>
    <row r="31" spans="1:3" x14ac:dyDescent="0.2">
      <c r="A31">
        <v>70</v>
      </c>
      <c r="B31" t="s">
        <v>1544</v>
      </c>
      <c r="C31" t="s">
        <v>1545</v>
      </c>
    </row>
    <row r="32" spans="1:3" x14ac:dyDescent="0.2">
      <c r="A32">
        <v>72</v>
      </c>
      <c r="B32" t="s">
        <v>1546</v>
      </c>
      <c r="C32" t="s">
        <v>1547</v>
      </c>
    </row>
    <row r="33" spans="1:3" x14ac:dyDescent="0.2">
      <c r="A33">
        <v>74</v>
      </c>
      <c r="B33" t="s">
        <v>1548</v>
      </c>
      <c r="C33" t="s">
        <v>1549</v>
      </c>
    </row>
    <row r="34" spans="1:3" x14ac:dyDescent="0.2">
      <c r="A34">
        <v>76</v>
      </c>
      <c r="B34" t="s">
        <v>1550</v>
      </c>
      <c r="C34" t="s">
        <v>1551</v>
      </c>
    </row>
    <row r="35" spans="1:3" x14ac:dyDescent="0.2">
      <c r="A35">
        <v>86</v>
      </c>
      <c r="B35" t="s">
        <v>1552</v>
      </c>
      <c r="C35" t="s">
        <v>1553</v>
      </c>
    </row>
    <row r="36" spans="1:3" x14ac:dyDescent="0.2">
      <c r="A36">
        <v>96</v>
      </c>
      <c r="B36" t="s">
        <v>1554</v>
      </c>
      <c r="C36" t="s">
        <v>1555</v>
      </c>
    </row>
    <row r="37" spans="1:3" x14ac:dyDescent="0.2">
      <c r="A37">
        <v>100</v>
      </c>
      <c r="B37" t="s">
        <v>1556</v>
      </c>
      <c r="C37" t="s">
        <v>1557</v>
      </c>
    </row>
    <row r="38" spans="1:3" x14ac:dyDescent="0.2">
      <c r="A38">
        <v>854</v>
      </c>
      <c r="B38" t="s">
        <v>1558</v>
      </c>
      <c r="C38" t="s">
        <v>1559</v>
      </c>
    </row>
    <row r="39" spans="1:3" x14ac:dyDescent="0.2">
      <c r="A39">
        <v>108</v>
      </c>
      <c r="B39" t="s">
        <v>1560</v>
      </c>
      <c r="C39" t="s">
        <v>1561</v>
      </c>
    </row>
    <row r="40" spans="1:3" x14ac:dyDescent="0.2">
      <c r="A40">
        <v>136</v>
      </c>
      <c r="B40" t="s">
        <v>1562</v>
      </c>
      <c r="C40" t="s">
        <v>1563</v>
      </c>
    </row>
    <row r="41" spans="1:3" x14ac:dyDescent="0.2">
      <c r="A41">
        <v>152</v>
      </c>
      <c r="B41" t="s">
        <v>1564</v>
      </c>
      <c r="C41" t="s">
        <v>1565</v>
      </c>
    </row>
    <row r="42" spans="1:3" x14ac:dyDescent="0.2">
      <c r="A42">
        <v>156</v>
      </c>
      <c r="B42" t="s">
        <v>1566</v>
      </c>
      <c r="C42" t="s">
        <v>1567</v>
      </c>
    </row>
    <row r="43" spans="1:3" x14ac:dyDescent="0.2">
      <c r="A43">
        <v>184</v>
      </c>
      <c r="B43" t="s">
        <v>1568</v>
      </c>
      <c r="C43" t="s">
        <v>1569</v>
      </c>
    </row>
    <row r="44" spans="1:3" x14ac:dyDescent="0.2">
      <c r="A44">
        <v>188</v>
      </c>
      <c r="B44" t="s">
        <v>1570</v>
      </c>
      <c r="C44" t="s">
        <v>1571</v>
      </c>
    </row>
    <row r="45" spans="1:3" x14ac:dyDescent="0.2">
      <c r="A45">
        <v>531</v>
      </c>
      <c r="B45" t="s">
        <v>1572</v>
      </c>
      <c r="C45" t="s">
        <v>1573</v>
      </c>
    </row>
    <row r="46" spans="1:3" x14ac:dyDescent="0.2">
      <c r="A46">
        <v>208</v>
      </c>
      <c r="B46" t="s">
        <v>1574</v>
      </c>
      <c r="C46" t="s">
        <v>1575</v>
      </c>
    </row>
    <row r="47" spans="1:3" x14ac:dyDescent="0.2">
      <c r="A47">
        <v>180</v>
      </c>
      <c r="B47" t="s">
        <v>1576</v>
      </c>
      <c r="C47" t="s">
        <v>1577</v>
      </c>
    </row>
    <row r="48" spans="1:3" x14ac:dyDescent="0.2">
      <c r="A48">
        <v>276</v>
      </c>
      <c r="B48" t="s">
        <v>1578</v>
      </c>
      <c r="C48" t="s">
        <v>1579</v>
      </c>
    </row>
    <row r="49" spans="1:3" x14ac:dyDescent="0.2">
      <c r="A49">
        <v>212</v>
      </c>
      <c r="B49" t="s">
        <v>1580</v>
      </c>
      <c r="C49" t="s">
        <v>1581</v>
      </c>
    </row>
    <row r="50" spans="1:3" x14ac:dyDescent="0.2">
      <c r="A50">
        <v>214</v>
      </c>
      <c r="B50" t="s">
        <v>1582</v>
      </c>
      <c r="C50" t="s">
        <v>1583</v>
      </c>
    </row>
    <row r="51" spans="1:3" x14ac:dyDescent="0.2">
      <c r="A51">
        <v>262</v>
      </c>
      <c r="B51" t="s">
        <v>1584</v>
      </c>
      <c r="C51" t="s">
        <v>1585</v>
      </c>
    </row>
    <row r="52" spans="1:3" x14ac:dyDescent="0.2">
      <c r="A52">
        <v>218</v>
      </c>
      <c r="B52" t="s">
        <v>1586</v>
      </c>
      <c r="C52" t="s">
        <v>1587</v>
      </c>
    </row>
    <row r="53" spans="1:3" x14ac:dyDescent="0.2">
      <c r="A53">
        <v>222</v>
      </c>
      <c r="B53" t="s">
        <v>1588</v>
      </c>
      <c r="C53" t="s">
        <v>1589</v>
      </c>
    </row>
    <row r="54" spans="1:3" x14ac:dyDescent="0.2">
      <c r="A54">
        <v>384</v>
      </c>
      <c r="B54" t="s">
        <v>1590</v>
      </c>
      <c r="C54" t="s">
        <v>1591</v>
      </c>
    </row>
    <row r="55" spans="1:3" x14ac:dyDescent="0.2">
      <c r="A55">
        <v>232</v>
      </c>
      <c r="B55" t="s">
        <v>1592</v>
      </c>
      <c r="C55" t="s">
        <v>1593</v>
      </c>
    </row>
    <row r="56" spans="1:3" x14ac:dyDescent="0.2">
      <c r="A56">
        <v>233</v>
      </c>
      <c r="B56" t="s">
        <v>1594</v>
      </c>
      <c r="C56" t="s">
        <v>1595</v>
      </c>
    </row>
    <row r="57" spans="1:3" x14ac:dyDescent="0.2">
      <c r="A57">
        <v>238</v>
      </c>
      <c r="B57" t="s">
        <v>1596</v>
      </c>
      <c r="C57" t="s">
        <v>1597</v>
      </c>
    </row>
    <row r="58" spans="1:3" x14ac:dyDescent="0.2">
      <c r="A58">
        <v>234</v>
      </c>
      <c r="B58" t="s">
        <v>1598</v>
      </c>
      <c r="C58" t="s">
        <v>1599</v>
      </c>
    </row>
    <row r="59" spans="1:3" x14ac:dyDescent="0.2">
      <c r="A59">
        <v>242</v>
      </c>
      <c r="B59" t="s">
        <v>1600</v>
      </c>
      <c r="C59" t="s">
        <v>1601</v>
      </c>
    </row>
    <row r="60" spans="1:3" x14ac:dyDescent="0.2">
      <c r="A60">
        <v>246</v>
      </c>
      <c r="B60" t="s">
        <v>1602</v>
      </c>
      <c r="C60" t="s">
        <v>1603</v>
      </c>
    </row>
    <row r="61" spans="1:3" x14ac:dyDescent="0.2">
      <c r="A61">
        <v>250</v>
      </c>
      <c r="B61" t="s">
        <v>1604</v>
      </c>
      <c r="C61" t="s">
        <v>1605</v>
      </c>
    </row>
    <row r="62" spans="1:3" x14ac:dyDescent="0.2">
      <c r="A62">
        <v>260</v>
      </c>
      <c r="B62" t="s">
        <v>1606</v>
      </c>
      <c r="C62" t="s">
        <v>1607</v>
      </c>
    </row>
    <row r="63" spans="1:3" x14ac:dyDescent="0.2">
      <c r="A63">
        <v>254</v>
      </c>
      <c r="B63" t="s">
        <v>1608</v>
      </c>
      <c r="C63" t="s">
        <v>1609</v>
      </c>
    </row>
    <row r="64" spans="1:3" x14ac:dyDescent="0.2">
      <c r="A64">
        <v>258</v>
      </c>
      <c r="B64" t="s">
        <v>1610</v>
      </c>
      <c r="C64" t="s">
        <v>1611</v>
      </c>
    </row>
    <row r="65" spans="1:3" x14ac:dyDescent="0.2">
      <c r="A65">
        <v>266</v>
      </c>
      <c r="B65" t="s">
        <v>1612</v>
      </c>
      <c r="C65" t="s">
        <v>1613</v>
      </c>
    </row>
    <row r="66" spans="1:3" x14ac:dyDescent="0.2">
      <c r="A66">
        <v>270</v>
      </c>
      <c r="B66" t="s">
        <v>1614</v>
      </c>
      <c r="C66" t="s">
        <v>1615</v>
      </c>
    </row>
    <row r="67" spans="1:3" x14ac:dyDescent="0.2">
      <c r="A67">
        <v>268</v>
      </c>
      <c r="B67" t="s">
        <v>1616</v>
      </c>
      <c r="C67" t="s">
        <v>1617</v>
      </c>
    </row>
    <row r="68" spans="1:3" x14ac:dyDescent="0.2">
      <c r="A68">
        <v>288</v>
      </c>
      <c r="B68" t="s">
        <v>1618</v>
      </c>
      <c r="C68" t="s">
        <v>1619</v>
      </c>
    </row>
    <row r="69" spans="1:3" x14ac:dyDescent="0.2">
      <c r="A69">
        <v>292</v>
      </c>
      <c r="B69" t="s">
        <v>1620</v>
      </c>
      <c r="C69" t="s">
        <v>1621</v>
      </c>
    </row>
    <row r="70" spans="1:3" x14ac:dyDescent="0.2">
      <c r="A70">
        <v>308</v>
      </c>
      <c r="B70" t="s">
        <v>1622</v>
      </c>
      <c r="C70" t="s">
        <v>1623</v>
      </c>
    </row>
    <row r="71" spans="1:3" x14ac:dyDescent="0.2">
      <c r="A71">
        <v>300</v>
      </c>
      <c r="B71" t="s">
        <v>1624</v>
      </c>
      <c r="C71" t="s">
        <v>1625</v>
      </c>
    </row>
    <row r="72" spans="1:3" x14ac:dyDescent="0.2">
      <c r="A72">
        <v>304</v>
      </c>
      <c r="B72" t="s">
        <v>1626</v>
      </c>
      <c r="C72" t="s">
        <v>1627</v>
      </c>
    </row>
    <row r="73" spans="1:3" x14ac:dyDescent="0.2">
      <c r="A73">
        <v>312</v>
      </c>
      <c r="B73" t="s">
        <v>1628</v>
      </c>
      <c r="C73" t="s">
        <v>1629</v>
      </c>
    </row>
    <row r="74" spans="1:3" x14ac:dyDescent="0.2">
      <c r="A74">
        <v>316</v>
      </c>
      <c r="B74" t="s">
        <v>1630</v>
      </c>
      <c r="C74" t="s">
        <v>1631</v>
      </c>
    </row>
    <row r="75" spans="1:3" x14ac:dyDescent="0.2">
      <c r="A75">
        <v>320</v>
      </c>
      <c r="B75" t="s">
        <v>1632</v>
      </c>
      <c r="C75" t="s">
        <v>1633</v>
      </c>
    </row>
    <row r="76" spans="1:3" x14ac:dyDescent="0.2">
      <c r="A76">
        <v>831</v>
      </c>
      <c r="B76" t="s">
        <v>1634</v>
      </c>
      <c r="C76" t="s">
        <v>1635</v>
      </c>
    </row>
    <row r="77" spans="1:3" x14ac:dyDescent="0.2">
      <c r="A77">
        <v>324</v>
      </c>
      <c r="B77" t="s">
        <v>1636</v>
      </c>
      <c r="C77" t="s">
        <v>1637</v>
      </c>
    </row>
    <row r="78" spans="1:3" x14ac:dyDescent="0.2">
      <c r="A78">
        <v>624</v>
      </c>
      <c r="B78" t="s">
        <v>1638</v>
      </c>
      <c r="C78" t="s">
        <v>1639</v>
      </c>
    </row>
    <row r="79" spans="1:3" x14ac:dyDescent="0.2">
      <c r="A79">
        <v>328</v>
      </c>
      <c r="B79" t="s">
        <v>1640</v>
      </c>
      <c r="C79" t="s">
        <v>1641</v>
      </c>
    </row>
    <row r="80" spans="1:3" x14ac:dyDescent="0.2">
      <c r="A80">
        <v>332</v>
      </c>
      <c r="B80" t="s">
        <v>1642</v>
      </c>
      <c r="C80" t="s">
        <v>1643</v>
      </c>
    </row>
    <row r="81" spans="1:3" x14ac:dyDescent="0.2">
      <c r="A81">
        <v>334</v>
      </c>
      <c r="B81" t="s">
        <v>1644</v>
      </c>
      <c r="C81" t="s">
        <v>1645</v>
      </c>
    </row>
    <row r="82" spans="1:3" x14ac:dyDescent="0.2">
      <c r="A82">
        <v>340</v>
      </c>
      <c r="B82" t="s">
        <v>1646</v>
      </c>
      <c r="C82" t="s">
        <v>1647</v>
      </c>
    </row>
    <row r="83" spans="1:3" x14ac:dyDescent="0.2">
      <c r="A83">
        <v>344</v>
      </c>
      <c r="B83" t="s">
        <v>1648</v>
      </c>
      <c r="C83" t="s">
        <v>1649</v>
      </c>
    </row>
    <row r="84" spans="1:3" x14ac:dyDescent="0.2">
      <c r="A84">
        <v>356</v>
      </c>
      <c r="B84" t="s">
        <v>1650</v>
      </c>
      <c r="C84" t="s">
        <v>1651</v>
      </c>
    </row>
    <row r="85" spans="1:3" x14ac:dyDescent="0.2">
      <c r="A85">
        <v>360</v>
      </c>
      <c r="B85" t="s">
        <v>1652</v>
      </c>
      <c r="C85" t="s">
        <v>1653</v>
      </c>
    </row>
    <row r="86" spans="1:3" x14ac:dyDescent="0.2">
      <c r="A86">
        <v>368</v>
      </c>
      <c r="B86" t="s">
        <v>1654</v>
      </c>
      <c r="C86" t="s">
        <v>1655</v>
      </c>
    </row>
    <row r="87" spans="1:3" x14ac:dyDescent="0.2">
      <c r="A87">
        <v>364</v>
      </c>
      <c r="B87" t="s">
        <v>1656</v>
      </c>
      <c r="C87" t="s">
        <v>1657</v>
      </c>
    </row>
    <row r="88" spans="1:3" x14ac:dyDescent="0.2">
      <c r="A88">
        <v>372</v>
      </c>
      <c r="B88" t="s">
        <v>1658</v>
      </c>
      <c r="C88" t="s">
        <v>1659</v>
      </c>
    </row>
    <row r="89" spans="1:3" x14ac:dyDescent="0.2">
      <c r="A89">
        <v>352</v>
      </c>
      <c r="B89" t="s">
        <v>1660</v>
      </c>
      <c r="C89" t="s">
        <v>1661</v>
      </c>
    </row>
    <row r="90" spans="1:3" x14ac:dyDescent="0.2">
      <c r="A90">
        <v>833</v>
      </c>
      <c r="B90" t="s">
        <v>1662</v>
      </c>
      <c r="C90" t="s">
        <v>1663</v>
      </c>
    </row>
    <row r="91" spans="1:3" x14ac:dyDescent="0.2">
      <c r="A91">
        <v>376</v>
      </c>
      <c r="B91" t="s">
        <v>1664</v>
      </c>
      <c r="C91" t="s">
        <v>1665</v>
      </c>
    </row>
    <row r="92" spans="1:3" x14ac:dyDescent="0.2">
      <c r="A92">
        <v>380</v>
      </c>
      <c r="B92" t="s">
        <v>1666</v>
      </c>
      <c r="C92" t="s">
        <v>1667</v>
      </c>
    </row>
    <row r="93" spans="1:3" x14ac:dyDescent="0.2">
      <c r="A93">
        <v>388</v>
      </c>
      <c r="B93" t="s">
        <v>1668</v>
      </c>
      <c r="C93" t="s">
        <v>1669</v>
      </c>
    </row>
    <row r="94" spans="1:3" x14ac:dyDescent="0.2">
      <c r="A94">
        <v>392</v>
      </c>
      <c r="B94" t="s">
        <v>1670</v>
      </c>
      <c r="C94" t="s">
        <v>1671</v>
      </c>
    </row>
    <row r="95" spans="1:3" x14ac:dyDescent="0.2">
      <c r="A95">
        <v>887</v>
      </c>
      <c r="B95" t="s">
        <v>1672</v>
      </c>
      <c r="C95" t="s">
        <v>1673</v>
      </c>
    </row>
    <row r="96" spans="1:3" x14ac:dyDescent="0.2">
      <c r="A96">
        <v>832</v>
      </c>
      <c r="B96" t="s">
        <v>1674</v>
      </c>
      <c r="C96" t="s">
        <v>1675</v>
      </c>
    </row>
    <row r="97" spans="1:3" x14ac:dyDescent="0.2">
      <c r="A97">
        <v>400</v>
      </c>
      <c r="B97" t="s">
        <v>1676</v>
      </c>
      <c r="C97" t="s">
        <v>1677</v>
      </c>
    </row>
    <row r="98" spans="1:3" x14ac:dyDescent="0.2">
      <c r="A98">
        <v>92</v>
      </c>
      <c r="B98" t="s">
        <v>1678</v>
      </c>
      <c r="C98" t="s">
        <v>1679</v>
      </c>
    </row>
    <row r="99" spans="1:3" x14ac:dyDescent="0.2">
      <c r="A99">
        <v>850</v>
      </c>
      <c r="B99" t="s">
        <v>1680</v>
      </c>
      <c r="C99" t="s">
        <v>1681</v>
      </c>
    </row>
    <row r="100" spans="1:3" x14ac:dyDescent="0.2">
      <c r="A100">
        <v>116</v>
      </c>
      <c r="B100" t="s">
        <v>1682</v>
      </c>
      <c r="C100" t="s">
        <v>1683</v>
      </c>
    </row>
    <row r="101" spans="1:3" x14ac:dyDescent="0.2">
      <c r="A101">
        <v>120</v>
      </c>
      <c r="B101" t="s">
        <v>1684</v>
      </c>
      <c r="C101" t="s">
        <v>1685</v>
      </c>
    </row>
    <row r="102" spans="1:3" x14ac:dyDescent="0.2">
      <c r="A102">
        <v>124</v>
      </c>
      <c r="B102" t="s">
        <v>1686</v>
      </c>
      <c r="C102" t="s">
        <v>1687</v>
      </c>
    </row>
    <row r="103" spans="1:3" x14ac:dyDescent="0.2">
      <c r="A103">
        <v>132</v>
      </c>
      <c r="B103" t="s">
        <v>1688</v>
      </c>
      <c r="C103" t="s">
        <v>1689</v>
      </c>
    </row>
    <row r="104" spans="1:3" x14ac:dyDescent="0.2">
      <c r="A104">
        <v>398</v>
      </c>
      <c r="B104" t="s">
        <v>1690</v>
      </c>
      <c r="C104" t="s">
        <v>1691</v>
      </c>
    </row>
    <row r="105" spans="1:3" x14ac:dyDescent="0.2">
      <c r="A105">
        <v>634</v>
      </c>
      <c r="B105" t="s">
        <v>1692</v>
      </c>
      <c r="C105" t="s">
        <v>1693</v>
      </c>
    </row>
    <row r="106" spans="1:3" x14ac:dyDescent="0.2">
      <c r="A106">
        <v>404</v>
      </c>
      <c r="B106" t="s">
        <v>1694</v>
      </c>
      <c r="C106" t="s">
        <v>1695</v>
      </c>
    </row>
    <row r="107" spans="1:3" x14ac:dyDescent="0.2">
      <c r="A107">
        <v>296</v>
      </c>
      <c r="B107" t="s">
        <v>1696</v>
      </c>
      <c r="C107" t="s">
        <v>1697</v>
      </c>
    </row>
    <row r="108" spans="1:3" x14ac:dyDescent="0.2">
      <c r="A108">
        <v>166</v>
      </c>
      <c r="B108" t="s">
        <v>1698</v>
      </c>
      <c r="C108" t="s">
        <v>1699</v>
      </c>
    </row>
    <row r="109" spans="1:3" x14ac:dyDescent="0.2">
      <c r="A109">
        <v>170</v>
      </c>
      <c r="B109" t="s">
        <v>1700</v>
      </c>
      <c r="C109" t="s">
        <v>1701</v>
      </c>
    </row>
    <row r="110" spans="1:3" x14ac:dyDescent="0.2">
      <c r="A110">
        <v>174</v>
      </c>
      <c r="B110" t="s">
        <v>1702</v>
      </c>
      <c r="C110" t="s">
        <v>1703</v>
      </c>
    </row>
    <row r="111" spans="1:3" x14ac:dyDescent="0.2">
      <c r="A111">
        <v>178</v>
      </c>
      <c r="B111" t="s">
        <v>1704</v>
      </c>
      <c r="C111" t="s">
        <v>1705</v>
      </c>
    </row>
    <row r="112" spans="1:3" x14ac:dyDescent="0.2">
      <c r="A112">
        <v>999</v>
      </c>
      <c r="B112" t="s">
        <v>1706</v>
      </c>
      <c r="C112" t="s">
        <v>1707</v>
      </c>
    </row>
    <row r="113" spans="1:3" x14ac:dyDescent="0.2">
      <c r="A113">
        <v>191</v>
      </c>
      <c r="B113" t="s">
        <v>1708</v>
      </c>
      <c r="C113" t="s">
        <v>1709</v>
      </c>
    </row>
    <row r="114" spans="1:3" x14ac:dyDescent="0.2">
      <c r="A114">
        <v>192</v>
      </c>
      <c r="B114" t="s">
        <v>1710</v>
      </c>
      <c r="C114" t="s">
        <v>1711</v>
      </c>
    </row>
    <row r="115" spans="1:3" x14ac:dyDescent="0.2">
      <c r="A115">
        <v>414</v>
      </c>
      <c r="B115" t="s">
        <v>1712</v>
      </c>
      <c r="C115" t="s">
        <v>1713</v>
      </c>
    </row>
    <row r="116" spans="1:3" x14ac:dyDescent="0.2">
      <c r="A116">
        <v>417</v>
      </c>
      <c r="B116" t="s">
        <v>1714</v>
      </c>
      <c r="C116" t="s">
        <v>1715</v>
      </c>
    </row>
    <row r="117" spans="1:3" x14ac:dyDescent="0.2">
      <c r="A117">
        <v>418</v>
      </c>
      <c r="B117" t="s">
        <v>1716</v>
      </c>
      <c r="C117" t="s">
        <v>1717</v>
      </c>
    </row>
    <row r="118" spans="1:3" x14ac:dyDescent="0.2">
      <c r="A118">
        <v>426</v>
      </c>
      <c r="B118" t="s">
        <v>1718</v>
      </c>
      <c r="C118" t="s">
        <v>1719</v>
      </c>
    </row>
    <row r="119" spans="1:3" x14ac:dyDescent="0.2">
      <c r="A119">
        <v>428</v>
      </c>
      <c r="B119" t="s">
        <v>1720</v>
      </c>
      <c r="C119" t="s">
        <v>1721</v>
      </c>
    </row>
    <row r="120" spans="1:3" x14ac:dyDescent="0.2">
      <c r="A120">
        <v>422</v>
      </c>
      <c r="B120" t="s">
        <v>1722</v>
      </c>
      <c r="C120" t="s">
        <v>1723</v>
      </c>
    </row>
    <row r="121" spans="1:3" x14ac:dyDescent="0.2">
      <c r="A121">
        <v>430</v>
      </c>
      <c r="B121" t="s">
        <v>1724</v>
      </c>
      <c r="C121" t="s">
        <v>1725</v>
      </c>
    </row>
    <row r="122" spans="1:3" x14ac:dyDescent="0.2">
      <c r="A122">
        <v>434</v>
      </c>
      <c r="B122" t="s">
        <v>1726</v>
      </c>
      <c r="C122" t="s">
        <v>1727</v>
      </c>
    </row>
    <row r="123" spans="1:3" x14ac:dyDescent="0.2">
      <c r="A123">
        <v>438</v>
      </c>
      <c r="B123" t="s">
        <v>1728</v>
      </c>
      <c r="C123" t="s">
        <v>1729</v>
      </c>
    </row>
    <row r="124" spans="1:3" x14ac:dyDescent="0.2">
      <c r="A124">
        <v>440</v>
      </c>
      <c r="B124" t="s">
        <v>1730</v>
      </c>
      <c r="C124" t="s">
        <v>1731</v>
      </c>
    </row>
    <row r="125" spans="1:3" x14ac:dyDescent="0.2">
      <c r="A125">
        <v>442</v>
      </c>
      <c r="B125" t="s">
        <v>1732</v>
      </c>
      <c r="C125" t="s">
        <v>1733</v>
      </c>
    </row>
    <row r="126" spans="1:3" x14ac:dyDescent="0.2">
      <c r="A126">
        <v>446</v>
      </c>
      <c r="B126" t="s">
        <v>1734</v>
      </c>
      <c r="C126" t="s">
        <v>1735</v>
      </c>
    </row>
    <row r="127" spans="1:3" x14ac:dyDescent="0.2">
      <c r="A127">
        <v>450</v>
      </c>
      <c r="B127" t="s">
        <v>1736</v>
      </c>
      <c r="C127" t="s">
        <v>1737</v>
      </c>
    </row>
    <row r="128" spans="1:3" x14ac:dyDescent="0.2">
      <c r="A128">
        <v>454</v>
      </c>
      <c r="B128" t="s">
        <v>1738</v>
      </c>
      <c r="C128" t="s">
        <v>1739</v>
      </c>
    </row>
    <row r="129" spans="1:3" x14ac:dyDescent="0.2">
      <c r="A129">
        <v>458</v>
      </c>
      <c r="B129" t="s">
        <v>1740</v>
      </c>
      <c r="C129" t="s">
        <v>1741</v>
      </c>
    </row>
    <row r="130" spans="1:3" x14ac:dyDescent="0.2">
      <c r="A130">
        <v>462</v>
      </c>
      <c r="B130" t="s">
        <v>1742</v>
      </c>
      <c r="C130" t="s">
        <v>1743</v>
      </c>
    </row>
    <row r="131" spans="1:3" x14ac:dyDescent="0.2">
      <c r="A131">
        <v>466</v>
      </c>
      <c r="B131" t="s">
        <v>1744</v>
      </c>
      <c r="C131" t="s">
        <v>1745</v>
      </c>
    </row>
    <row r="132" spans="1:3" x14ac:dyDescent="0.2">
      <c r="A132">
        <v>470</v>
      </c>
      <c r="B132" t="s">
        <v>1746</v>
      </c>
      <c r="C132" t="s">
        <v>1747</v>
      </c>
    </row>
    <row r="133" spans="1:3" x14ac:dyDescent="0.2">
      <c r="A133">
        <v>504</v>
      </c>
      <c r="B133" t="s">
        <v>1748</v>
      </c>
      <c r="C133" t="s">
        <v>1749</v>
      </c>
    </row>
    <row r="134" spans="1:3" x14ac:dyDescent="0.2">
      <c r="A134">
        <v>584</v>
      </c>
      <c r="B134" t="s">
        <v>1750</v>
      </c>
      <c r="C134" t="s">
        <v>1751</v>
      </c>
    </row>
    <row r="135" spans="1:3" x14ac:dyDescent="0.2">
      <c r="A135">
        <v>474</v>
      </c>
      <c r="B135" t="s">
        <v>1752</v>
      </c>
      <c r="C135" t="s">
        <v>1753</v>
      </c>
    </row>
    <row r="136" spans="1:3" x14ac:dyDescent="0.2">
      <c r="A136">
        <v>478</v>
      </c>
      <c r="B136" t="s">
        <v>1754</v>
      </c>
      <c r="C136" t="s">
        <v>1755</v>
      </c>
    </row>
    <row r="137" spans="1:3" x14ac:dyDescent="0.2">
      <c r="A137">
        <v>480</v>
      </c>
      <c r="B137" t="s">
        <v>1756</v>
      </c>
      <c r="C137" t="s">
        <v>1757</v>
      </c>
    </row>
    <row r="138" spans="1:3" x14ac:dyDescent="0.2">
      <c r="A138">
        <v>175</v>
      </c>
      <c r="B138" t="s">
        <v>1758</v>
      </c>
      <c r="C138" t="s">
        <v>1759</v>
      </c>
    </row>
    <row r="139" spans="1:3" x14ac:dyDescent="0.2">
      <c r="A139">
        <v>807</v>
      </c>
      <c r="B139" t="s">
        <v>1760</v>
      </c>
      <c r="C139" t="s">
        <v>1761</v>
      </c>
    </row>
    <row r="140" spans="1:3" x14ac:dyDescent="0.2">
      <c r="A140">
        <v>484</v>
      </c>
      <c r="B140" t="s">
        <v>1762</v>
      </c>
      <c r="C140" t="s">
        <v>1763</v>
      </c>
    </row>
    <row r="141" spans="1:3" x14ac:dyDescent="0.2">
      <c r="A141">
        <v>583</v>
      </c>
      <c r="B141" t="s">
        <v>1764</v>
      </c>
      <c r="C141" t="s">
        <v>1765</v>
      </c>
    </row>
    <row r="142" spans="1:3" x14ac:dyDescent="0.2">
      <c r="A142">
        <v>498</v>
      </c>
      <c r="B142" t="s">
        <v>1766</v>
      </c>
      <c r="C142" t="s">
        <v>1767</v>
      </c>
    </row>
    <row r="143" spans="1:3" x14ac:dyDescent="0.2">
      <c r="A143">
        <v>492</v>
      </c>
      <c r="B143" t="s">
        <v>1768</v>
      </c>
      <c r="C143" t="s">
        <v>1769</v>
      </c>
    </row>
    <row r="144" spans="1:3" x14ac:dyDescent="0.2">
      <c r="A144">
        <v>496</v>
      </c>
      <c r="B144" t="s">
        <v>1770</v>
      </c>
      <c r="C144" t="s">
        <v>1771</v>
      </c>
    </row>
    <row r="145" spans="1:3" x14ac:dyDescent="0.2">
      <c r="A145">
        <v>499</v>
      </c>
      <c r="B145" t="s">
        <v>1772</v>
      </c>
      <c r="C145" t="s">
        <v>1773</v>
      </c>
    </row>
    <row r="146" spans="1:3" x14ac:dyDescent="0.2">
      <c r="A146">
        <v>500</v>
      </c>
      <c r="B146" t="s">
        <v>1774</v>
      </c>
      <c r="C146" t="s">
        <v>1775</v>
      </c>
    </row>
    <row r="147" spans="1:3" x14ac:dyDescent="0.2">
      <c r="A147">
        <v>508</v>
      </c>
      <c r="B147" t="s">
        <v>1776</v>
      </c>
      <c r="C147" t="s">
        <v>1777</v>
      </c>
    </row>
    <row r="148" spans="1:3" x14ac:dyDescent="0.2">
      <c r="A148">
        <v>104</v>
      </c>
      <c r="B148" t="s">
        <v>1778</v>
      </c>
      <c r="C148" t="s">
        <v>1779</v>
      </c>
    </row>
    <row r="149" spans="1:3" x14ac:dyDescent="0.2">
      <c r="A149">
        <v>516</v>
      </c>
      <c r="B149" t="s">
        <v>1780</v>
      </c>
      <c r="C149" t="s">
        <v>1781</v>
      </c>
    </row>
    <row r="150" spans="1:3" x14ac:dyDescent="0.2">
      <c r="A150">
        <v>520</v>
      </c>
      <c r="B150" t="s">
        <v>1782</v>
      </c>
      <c r="C150" t="s">
        <v>1783</v>
      </c>
    </row>
    <row r="151" spans="1:3" x14ac:dyDescent="0.2">
      <c r="A151">
        <v>524</v>
      </c>
      <c r="B151" t="s">
        <v>1784</v>
      </c>
      <c r="C151" t="s">
        <v>1785</v>
      </c>
    </row>
    <row r="152" spans="1:3" x14ac:dyDescent="0.2">
      <c r="A152">
        <v>540</v>
      </c>
      <c r="B152" t="s">
        <v>1786</v>
      </c>
      <c r="C152" t="s">
        <v>1787</v>
      </c>
    </row>
    <row r="153" spans="1:3" x14ac:dyDescent="0.2">
      <c r="A153">
        <v>554</v>
      </c>
      <c r="B153" t="s">
        <v>1788</v>
      </c>
      <c r="C153" t="s">
        <v>1789</v>
      </c>
    </row>
    <row r="154" spans="1:3" x14ac:dyDescent="0.2">
      <c r="A154">
        <v>558</v>
      </c>
      <c r="B154" t="s">
        <v>1790</v>
      </c>
      <c r="C154" t="s">
        <v>1791</v>
      </c>
    </row>
    <row r="155" spans="1:3" x14ac:dyDescent="0.2">
      <c r="A155">
        <v>528</v>
      </c>
      <c r="B155" t="s">
        <v>1792</v>
      </c>
      <c r="C155" t="s">
        <v>1793</v>
      </c>
    </row>
    <row r="156" spans="1:3" x14ac:dyDescent="0.2">
      <c r="A156">
        <v>562</v>
      </c>
      <c r="B156" t="s">
        <v>1794</v>
      </c>
      <c r="C156" t="s">
        <v>1795</v>
      </c>
    </row>
    <row r="157" spans="1:3" x14ac:dyDescent="0.2">
      <c r="A157">
        <v>566</v>
      </c>
      <c r="B157" t="s">
        <v>1796</v>
      </c>
      <c r="C157" t="s">
        <v>1797</v>
      </c>
    </row>
    <row r="158" spans="1:3" x14ac:dyDescent="0.2">
      <c r="A158">
        <v>570</v>
      </c>
      <c r="B158" t="s">
        <v>1798</v>
      </c>
      <c r="C158" t="s">
        <v>1799</v>
      </c>
    </row>
    <row r="159" spans="1:3" x14ac:dyDescent="0.2">
      <c r="A159">
        <v>408</v>
      </c>
      <c r="B159" t="s">
        <v>1800</v>
      </c>
      <c r="C159" t="s">
        <v>1801</v>
      </c>
    </row>
    <row r="160" spans="1:3" x14ac:dyDescent="0.2">
      <c r="A160">
        <v>580</v>
      </c>
      <c r="B160" t="s">
        <v>1802</v>
      </c>
      <c r="C160" t="s">
        <v>1803</v>
      </c>
    </row>
    <row r="161" spans="1:3" x14ac:dyDescent="0.2">
      <c r="A161">
        <v>574</v>
      </c>
      <c r="B161" t="s">
        <v>1804</v>
      </c>
      <c r="C161" t="s">
        <v>1805</v>
      </c>
    </row>
    <row r="162" spans="1:3" x14ac:dyDescent="0.2">
      <c r="A162">
        <v>578</v>
      </c>
      <c r="B162" t="s">
        <v>1806</v>
      </c>
      <c r="C162" t="s">
        <v>1807</v>
      </c>
    </row>
    <row r="163" spans="1:3" x14ac:dyDescent="0.2">
      <c r="A163">
        <v>512</v>
      </c>
      <c r="B163" t="s">
        <v>1808</v>
      </c>
      <c r="C163" t="s">
        <v>1809</v>
      </c>
    </row>
    <row r="164" spans="1:3" x14ac:dyDescent="0.2">
      <c r="A164">
        <v>40</v>
      </c>
      <c r="B164" t="s">
        <v>1810</v>
      </c>
      <c r="C164" t="s">
        <v>1811</v>
      </c>
    </row>
    <row r="165" spans="1:3" x14ac:dyDescent="0.2">
      <c r="A165">
        <v>626</v>
      </c>
      <c r="B165" t="s">
        <v>1812</v>
      </c>
      <c r="C165" t="s">
        <v>1813</v>
      </c>
    </row>
    <row r="166" spans="1:3" x14ac:dyDescent="0.2">
      <c r="A166">
        <v>586</v>
      </c>
      <c r="B166" t="s">
        <v>1814</v>
      </c>
      <c r="C166" t="s">
        <v>1815</v>
      </c>
    </row>
    <row r="167" spans="1:3" x14ac:dyDescent="0.2">
      <c r="A167">
        <v>275</v>
      </c>
      <c r="B167" t="s">
        <v>1816</v>
      </c>
      <c r="C167" t="s">
        <v>1817</v>
      </c>
    </row>
    <row r="168" spans="1:3" x14ac:dyDescent="0.2">
      <c r="A168">
        <v>585</v>
      </c>
      <c r="B168" t="s">
        <v>1818</v>
      </c>
      <c r="C168" t="s">
        <v>1819</v>
      </c>
    </row>
    <row r="169" spans="1:3" x14ac:dyDescent="0.2">
      <c r="A169">
        <v>591</v>
      </c>
      <c r="B169" t="s">
        <v>1820</v>
      </c>
      <c r="C169" t="s">
        <v>1821</v>
      </c>
    </row>
    <row r="170" spans="1:3" x14ac:dyDescent="0.2">
      <c r="A170">
        <v>598</v>
      </c>
      <c r="B170" t="s">
        <v>1822</v>
      </c>
      <c r="C170" t="s">
        <v>1823</v>
      </c>
    </row>
    <row r="171" spans="1:3" x14ac:dyDescent="0.2">
      <c r="A171">
        <v>600</v>
      </c>
      <c r="B171" t="s">
        <v>1824</v>
      </c>
      <c r="C171" t="s">
        <v>1825</v>
      </c>
    </row>
    <row r="172" spans="1:3" x14ac:dyDescent="0.2">
      <c r="A172">
        <v>604</v>
      </c>
      <c r="B172" t="s">
        <v>1826</v>
      </c>
      <c r="C172" t="s">
        <v>1827</v>
      </c>
    </row>
    <row r="173" spans="1:3" x14ac:dyDescent="0.2">
      <c r="A173">
        <v>608</v>
      </c>
      <c r="B173" t="s">
        <v>1828</v>
      </c>
      <c r="C173" t="s">
        <v>1829</v>
      </c>
    </row>
    <row r="174" spans="1:3" x14ac:dyDescent="0.2">
      <c r="A174">
        <v>612</v>
      </c>
      <c r="B174" t="s">
        <v>1830</v>
      </c>
      <c r="C174" t="s">
        <v>1831</v>
      </c>
    </row>
    <row r="175" spans="1:3" x14ac:dyDescent="0.2">
      <c r="A175">
        <v>616</v>
      </c>
      <c r="B175" t="s">
        <v>1832</v>
      </c>
      <c r="C175" t="s">
        <v>1833</v>
      </c>
    </row>
    <row r="176" spans="1:3" x14ac:dyDescent="0.2">
      <c r="A176">
        <v>620</v>
      </c>
      <c r="B176" t="s">
        <v>1834</v>
      </c>
      <c r="C176" t="s">
        <v>1835</v>
      </c>
    </row>
    <row r="177" spans="1:3" x14ac:dyDescent="0.2">
      <c r="A177">
        <v>630</v>
      </c>
      <c r="B177" t="s">
        <v>1836</v>
      </c>
      <c r="C177" t="s">
        <v>1837</v>
      </c>
    </row>
    <row r="178" spans="1:3" x14ac:dyDescent="0.2">
      <c r="A178">
        <v>638</v>
      </c>
      <c r="B178" t="s">
        <v>1838</v>
      </c>
      <c r="C178" t="s">
        <v>1839</v>
      </c>
    </row>
    <row r="179" spans="1:3" x14ac:dyDescent="0.2">
      <c r="A179">
        <v>646</v>
      </c>
      <c r="B179" t="s">
        <v>1840</v>
      </c>
      <c r="C179" t="s">
        <v>1841</v>
      </c>
    </row>
    <row r="180" spans="1:3" x14ac:dyDescent="0.2">
      <c r="A180">
        <v>642</v>
      </c>
      <c r="B180" t="s">
        <v>1842</v>
      </c>
      <c r="C180" t="s">
        <v>1843</v>
      </c>
    </row>
    <row r="181" spans="1:3" x14ac:dyDescent="0.2">
      <c r="A181">
        <v>643</v>
      </c>
      <c r="B181" t="s">
        <v>1844</v>
      </c>
      <c r="C181" t="s">
        <v>1845</v>
      </c>
    </row>
    <row r="182" spans="1:3" x14ac:dyDescent="0.2">
      <c r="A182">
        <v>652</v>
      </c>
      <c r="B182" t="s">
        <v>1846</v>
      </c>
      <c r="C182" t="s">
        <v>1847</v>
      </c>
    </row>
    <row r="183" spans="1:3" x14ac:dyDescent="0.2">
      <c r="A183">
        <v>666</v>
      </c>
      <c r="B183" t="s">
        <v>1848</v>
      </c>
      <c r="C183" t="s">
        <v>1849</v>
      </c>
    </row>
    <row r="184" spans="1:3" x14ac:dyDescent="0.2">
      <c r="A184">
        <v>90</v>
      </c>
      <c r="B184" t="s">
        <v>1850</v>
      </c>
      <c r="C184" t="s">
        <v>1851</v>
      </c>
    </row>
    <row r="185" spans="1:3" x14ac:dyDescent="0.2">
      <c r="A185">
        <v>894</v>
      </c>
      <c r="B185" t="s">
        <v>1852</v>
      </c>
      <c r="C185" t="s">
        <v>1853</v>
      </c>
    </row>
    <row r="186" spans="1:3" x14ac:dyDescent="0.2">
      <c r="A186">
        <v>882</v>
      </c>
      <c r="B186" t="s">
        <v>1854</v>
      </c>
      <c r="C186" t="s">
        <v>1855</v>
      </c>
    </row>
    <row r="187" spans="1:3" x14ac:dyDescent="0.2">
      <c r="A187">
        <v>674</v>
      </c>
      <c r="B187" t="s">
        <v>1856</v>
      </c>
      <c r="C187" t="s">
        <v>1857</v>
      </c>
    </row>
    <row r="188" spans="1:3" x14ac:dyDescent="0.2">
      <c r="A188">
        <v>678</v>
      </c>
      <c r="B188" t="s">
        <v>1858</v>
      </c>
      <c r="C188" t="s">
        <v>1859</v>
      </c>
    </row>
    <row r="189" spans="1:3" x14ac:dyDescent="0.2">
      <c r="A189">
        <v>682</v>
      </c>
      <c r="B189" t="s">
        <v>1860</v>
      </c>
      <c r="C189" t="s">
        <v>1861</v>
      </c>
    </row>
    <row r="190" spans="1:3" x14ac:dyDescent="0.2">
      <c r="A190">
        <v>752</v>
      </c>
      <c r="B190" t="s">
        <v>1862</v>
      </c>
      <c r="C190" t="s">
        <v>1863</v>
      </c>
    </row>
    <row r="191" spans="1:3" x14ac:dyDescent="0.2">
      <c r="A191">
        <v>756</v>
      </c>
      <c r="B191" t="s">
        <v>1864</v>
      </c>
      <c r="C191" t="s">
        <v>1865</v>
      </c>
    </row>
    <row r="192" spans="1:3" x14ac:dyDescent="0.2">
      <c r="A192">
        <v>686</v>
      </c>
      <c r="B192" t="s">
        <v>1866</v>
      </c>
      <c r="C192" t="s">
        <v>1867</v>
      </c>
    </row>
    <row r="193" spans="1:3" x14ac:dyDescent="0.2">
      <c r="A193">
        <v>688</v>
      </c>
      <c r="B193" t="s">
        <v>1868</v>
      </c>
      <c r="C193" t="s">
        <v>1869</v>
      </c>
    </row>
    <row r="194" spans="1:3" x14ac:dyDescent="0.2">
      <c r="A194">
        <v>690</v>
      </c>
      <c r="B194" t="s">
        <v>1870</v>
      </c>
      <c r="C194" t="s">
        <v>1871</v>
      </c>
    </row>
    <row r="195" spans="1:3" x14ac:dyDescent="0.2">
      <c r="A195">
        <v>694</v>
      </c>
      <c r="B195" t="s">
        <v>1872</v>
      </c>
      <c r="C195" t="s">
        <v>1873</v>
      </c>
    </row>
    <row r="196" spans="1:3" x14ac:dyDescent="0.2">
      <c r="A196">
        <v>716</v>
      </c>
      <c r="B196" t="s">
        <v>1874</v>
      </c>
      <c r="C196" t="s">
        <v>1875</v>
      </c>
    </row>
    <row r="197" spans="1:3" x14ac:dyDescent="0.2">
      <c r="A197">
        <v>702</v>
      </c>
      <c r="B197" t="s">
        <v>1876</v>
      </c>
      <c r="C197" t="s">
        <v>1877</v>
      </c>
    </row>
    <row r="198" spans="1:3" x14ac:dyDescent="0.2">
      <c r="A198">
        <v>703</v>
      </c>
      <c r="B198" t="s">
        <v>1878</v>
      </c>
      <c r="C198" t="s">
        <v>1879</v>
      </c>
    </row>
    <row r="199" spans="1:3" x14ac:dyDescent="0.2">
      <c r="A199">
        <v>705</v>
      </c>
      <c r="B199" t="s">
        <v>1880</v>
      </c>
      <c r="C199" t="s">
        <v>1881</v>
      </c>
    </row>
    <row r="200" spans="1:3" x14ac:dyDescent="0.2">
      <c r="A200">
        <v>706</v>
      </c>
      <c r="B200" t="s">
        <v>1882</v>
      </c>
      <c r="C200" t="s">
        <v>1883</v>
      </c>
    </row>
    <row r="201" spans="1:3" x14ac:dyDescent="0.2">
      <c r="A201">
        <v>724</v>
      </c>
      <c r="B201" t="s">
        <v>1884</v>
      </c>
      <c r="C201" t="s">
        <v>1885</v>
      </c>
    </row>
    <row r="202" spans="1:3" x14ac:dyDescent="0.2">
      <c r="A202">
        <v>144</v>
      </c>
      <c r="B202" t="s">
        <v>1886</v>
      </c>
      <c r="C202" t="s">
        <v>1887</v>
      </c>
    </row>
    <row r="203" spans="1:3" x14ac:dyDescent="0.2">
      <c r="A203">
        <v>654</v>
      </c>
      <c r="B203" t="s">
        <v>1888</v>
      </c>
      <c r="C203" t="s">
        <v>1889</v>
      </c>
    </row>
    <row r="204" spans="1:3" x14ac:dyDescent="0.2">
      <c r="A204">
        <v>659</v>
      </c>
      <c r="B204" t="s">
        <v>1890</v>
      </c>
      <c r="C204" t="s">
        <v>1891</v>
      </c>
    </row>
    <row r="205" spans="1:3" x14ac:dyDescent="0.2">
      <c r="A205">
        <v>662</v>
      </c>
      <c r="B205" t="s">
        <v>1892</v>
      </c>
      <c r="C205" t="s">
        <v>1893</v>
      </c>
    </row>
    <row r="206" spans="1:3" x14ac:dyDescent="0.2">
      <c r="A206">
        <v>663</v>
      </c>
      <c r="B206" t="s">
        <v>1894</v>
      </c>
      <c r="C206" t="s">
        <v>1895</v>
      </c>
    </row>
    <row r="207" spans="1:3" x14ac:dyDescent="0.2">
      <c r="A207">
        <v>534</v>
      </c>
      <c r="B207" t="s">
        <v>1896</v>
      </c>
      <c r="C207" t="s">
        <v>1897</v>
      </c>
    </row>
    <row r="208" spans="1:3" x14ac:dyDescent="0.2">
      <c r="A208">
        <v>670</v>
      </c>
      <c r="B208" t="s">
        <v>1898</v>
      </c>
      <c r="C208" t="s">
        <v>1899</v>
      </c>
    </row>
    <row r="209" spans="1:3" x14ac:dyDescent="0.2">
      <c r="A209">
        <v>710</v>
      </c>
      <c r="B209" t="s">
        <v>1900</v>
      </c>
      <c r="C209" t="s">
        <v>1901</v>
      </c>
    </row>
    <row r="210" spans="1:3" x14ac:dyDescent="0.2">
      <c r="A210">
        <v>729</v>
      </c>
      <c r="B210" t="s">
        <v>1902</v>
      </c>
      <c r="C210" t="s">
        <v>1903</v>
      </c>
    </row>
    <row r="211" spans="1:3" x14ac:dyDescent="0.2">
      <c r="A211">
        <v>239</v>
      </c>
      <c r="B211" t="s">
        <v>1904</v>
      </c>
      <c r="C211" t="s">
        <v>1905</v>
      </c>
    </row>
    <row r="212" spans="1:3" x14ac:dyDescent="0.2">
      <c r="A212">
        <v>410</v>
      </c>
      <c r="B212" t="s">
        <v>1906</v>
      </c>
      <c r="C212" t="s">
        <v>1907</v>
      </c>
    </row>
    <row r="213" spans="1:3" x14ac:dyDescent="0.2">
      <c r="A213">
        <v>728</v>
      </c>
      <c r="B213" t="s">
        <v>1908</v>
      </c>
      <c r="C213" t="s">
        <v>1909</v>
      </c>
    </row>
    <row r="214" spans="1:3" x14ac:dyDescent="0.2">
      <c r="A214">
        <v>740</v>
      </c>
      <c r="B214" t="s">
        <v>1910</v>
      </c>
      <c r="C214" t="s">
        <v>1911</v>
      </c>
    </row>
    <row r="215" spans="1:3" x14ac:dyDescent="0.2">
      <c r="A215">
        <v>744</v>
      </c>
      <c r="B215" t="s">
        <v>1912</v>
      </c>
      <c r="C215" t="s">
        <v>1913</v>
      </c>
    </row>
    <row r="216" spans="1:3" x14ac:dyDescent="0.2">
      <c r="A216">
        <v>748</v>
      </c>
      <c r="B216" t="s">
        <v>1914</v>
      </c>
      <c r="C216" t="s">
        <v>1915</v>
      </c>
    </row>
    <row r="217" spans="1:3" x14ac:dyDescent="0.2">
      <c r="A217">
        <v>760</v>
      </c>
      <c r="B217" t="s">
        <v>1916</v>
      </c>
      <c r="C217" t="s">
        <v>1917</v>
      </c>
    </row>
    <row r="218" spans="1:3" x14ac:dyDescent="0.2">
      <c r="A218">
        <v>762</v>
      </c>
      <c r="B218" t="s">
        <v>1918</v>
      </c>
      <c r="C218" t="s">
        <v>1919</v>
      </c>
    </row>
    <row r="219" spans="1:3" x14ac:dyDescent="0.2">
      <c r="A219">
        <v>158</v>
      </c>
      <c r="B219" t="s">
        <v>1920</v>
      </c>
      <c r="C219" t="s">
        <v>1921</v>
      </c>
    </row>
    <row r="220" spans="1:3" x14ac:dyDescent="0.2">
      <c r="A220">
        <v>834</v>
      </c>
      <c r="B220" t="s">
        <v>1922</v>
      </c>
      <c r="C220" t="s">
        <v>1923</v>
      </c>
    </row>
    <row r="221" spans="1:3" x14ac:dyDescent="0.2">
      <c r="A221">
        <v>764</v>
      </c>
      <c r="B221" t="s">
        <v>1924</v>
      </c>
      <c r="C221" t="s">
        <v>1925</v>
      </c>
    </row>
    <row r="222" spans="1:3" x14ac:dyDescent="0.2">
      <c r="A222">
        <v>768</v>
      </c>
      <c r="B222" t="s">
        <v>1926</v>
      </c>
      <c r="C222" t="s">
        <v>1927</v>
      </c>
    </row>
    <row r="223" spans="1:3" x14ac:dyDescent="0.2">
      <c r="A223">
        <v>772</v>
      </c>
      <c r="B223" t="s">
        <v>1928</v>
      </c>
      <c r="C223" t="s">
        <v>1929</v>
      </c>
    </row>
    <row r="224" spans="1:3" x14ac:dyDescent="0.2">
      <c r="A224">
        <v>776</v>
      </c>
      <c r="B224" t="s">
        <v>1930</v>
      </c>
      <c r="C224" t="s">
        <v>1931</v>
      </c>
    </row>
    <row r="225" spans="1:3" x14ac:dyDescent="0.2">
      <c r="A225">
        <v>780</v>
      </c>
      <c r="B225" t="s">
        <v>1932</v>
      </c>
      <c r="C225" t="s">
        <v>1933</v>
      </c>
    </row>
    <row r="226" spans="1:3" x14ac:dyDescent="0.2">
      <c r="A226">
        <v>148</v>
      </c>
      <c r="B226" t="s">
        <v>1934</v>
      </c>
      <c r="C226" t="s">
        <v>1935</v>
      </c>
    </row>
    <row r="227" spans="1:3" x14ac:dyDescent="0.2">
      <c r="A227">
        <v>203</v>
      </c>
      <c r="B227" t="s">
        <v>1936</v>
      </c>
      <c r="C227" t="s">
        <v>1937</v>
      </c>
    </row>
    <row r="228" spans="1:3" x14ac:dyDescent="0.2">
      <c r="A228">
        <v>788</v>
      </c>
      <c r="B228" t="s">
        <v>1938</v>
      </c>
      <c r="C228" t="s">
        <v>1939</v>
      </c>
    </row>
    <row r="229" spans="1:3" x14ac:dyDescent="0.2">
      <c r="A229">
        <v>792</v>
      </c>
      <c r="B229" t="s">
        <v>1940</v>
      </c>
      <c r="C229" t="s">
        <v>740</v>
      </c>
    </row>
    <row r="230" spans="1:3" x14ac:dyDescent="0.2">
      <c r="A230">
        <v>795</v>
      </c>
      <c r="B230" t="s">
        <v>1941</v>
      </c>
      <c r="C230" t="s">
        <v>1942</v>
      </c>
    </row>
    <row r="231" spans="1:3" x14ac:dyDescent="0.2">
      <c r="A231">
        <v>796</v>
      </c>
      <c r="B231" t="s">
        <v>1943</v>
      </c>
      <c r="C231" t="s">
        <v>1944</v>
      </c>
    </row>
    <row r="232" spans="1:3" x14ac:dyDescent="0.2">
      <c r="A232">
        <v>798</v>
      </c>
      <c r="B232" t="s">
        <v>1945</v>
      </c>
      <c r="C232" t="s">
        <v>1946</v>
      </c>
    </row>
    <row r="233" spans="1:3" x14ac:dyDescent="0.2">
      <c r="A233">
        <v>800</v>
      </c>
      <c r="B233" t="s">
        <v>1947</v>
      </c>
      <c r="C233" t="s">
        <v>1948</v>
      </c>
    </row>
    <row r="234" spans="1:3" x14ac:dyDescent="0.2">
      <c r="A234">
        <v>804</v>
      </c>
      <c r="B234" t="s">
        <v>1949</v>
      </c>
      <c r="C234" t="s">
        <v>1950</v>
      </c>
    </row>
    <row r="235" spans="1:3" x14ac:dyDescent="0.2">
      <c r="A235">
        <v>348</v>
      </c>
      <c r="B235" t="s">
        <v>1951</v>
      </c>
      <c r="C235" t="s">
        <v>1952</v>
      </c>
    </row>
    <row r="236" spans="1:3" x14ac:dyDescent="0.2">
      <c r="A236">
        <v>581</v>
      </c>
      <c r="B236" t="s">
        <v>1953</v>
      </c>
      <c r="C236" t="s">
        <v>1954</v>
      </c>
    </row>
    <row r="237" spans="1:3" x14ac:dyDescent="0.2">
      <c r="A237">
        <v>858</v>
      </c>
      <c r="B237" t="s">
        <v>1955</v>
      </c>
      <c r="C237" t="s">
        <v>1956</v>
      </c>
    </row>
    <row r="238" spans="1:3" x14ac:dyDescent="0.2">
      <c r="A238">
        <v>860</v>
      </c>
      <c r="B238" t="s">
        <v>1957</v>
      </c>
      <c r="C238" t="s">
        <v>1958</v>
      </c>
    </row>
    <row r="239" spans="1:3" x14ac:dyDescent="0.2">
      <c r="A239">
        <v>548</v>
      </c>
      <c r="B239" t="s">
        <v>1959</v>
      </c>
      <c r="C239" t="s">
        <v>1960</v>
      </c>
    </row>
    <row r="240" spans="1:3" x14ac:dyDescent="0.2">
      <c r="A240">
        <v>336</v>
      </c>
      <c r="B240" t="s">
        <v>1961</v>
      </c>
      <c r="C240" t="s">
        <v>1962</v>
      </c>
    </row>
    <row r="241" spans="1:3" x14ac:dyDescent="0.2">
      <c r="A241">
        <v>862</v>
      </c>
      <c r="B241" t="s">
        <v>1963</v>
      </c>
      <c r="C241" t="s">
        <v>1964</v>
      </c>
    </row>
    <row r="242" spans="1:3" x14ac:dyDescent="0.2">
      <c r="A242">
        <v>784</v>
      </c>
      <c r="B242" t="s">
        <v>1965</v>
      </c>
      <c r="C242" t="s">
        <v>1966</v>
      </c>
    </row>
    <row r="243" spans="1:3" x14ac:dyDescent="0.2">
      <c r="A243">
        <v>840</v>
      </c>
      <c r="B243" t="s">
        <v>1967</v>
      </c>
      <c r="C243" t="s">
        <v>1968</v>
      </c>
    </row>
    <row r="244" spans="1:3" x14ac:dyDescent="0.2">
      <c r="A244">
        <v>826</v>
      </c>
      <c r="B244" t="s">
        <v>1969</v>
      </c>
      <c r="C244" t="s">
        <v>1970</v>
      </c>
    </row>
    <row r="245" spans="1:3" x14ac:dyDescent="0.2">
      <c r="A245">
        <v>704</v>
      </c>
      <c r="B245" t="s">
        <v>1971</v>
      </c>
      <c r="C245" t="s">
        <v>1972</v>
      </c>
    </row>
    <row r="246" spans="1:3" x14ac:dyDescent="0.2">
      <c r="A246">
        <v>876</v>
      </c>
      <c r="B246" t="s">
        <v>1973</v>
      </c>
      <c r="C246" t="s">
        <v>1974</v>
      </c>
    </row>
    <row r="247" spans="1:3" x14ac:dyDescent="0.2">
      <c r="A247">
        <v>162</v>
      </c>
      <c r="B247" t="s">
        <v>1975</v>
      </c>
      <c r="C247" t="s">
        <v>1976</v>
      </c>
    </row>
    <row r="248" spans="1:3" x14ac:dyDescent="0.2">
      <c r="A248">
        <v>112</v>
      </c>
      <c r="B248" t="s">
        <v>1977</v>
      </c>
      <c r="C248" t="s">
        <v>1978</v>
      </c>
    </row>
    <row r="249" spans="1:3" x14ac:dyDescent="0.2">
      <c r="A249">
        <v>732</v>
      </c>
      <c r="B249" t="s">
        <v>1979</v>
      </c>
      <c r="C249" t="s">
        <v>1980</v>
      </c>
    </row>
    <row r="250" spans="1:3" x14ac:dyDescent="0.2">
      <c r="A250">
        <v>140</v>
      </c>
      <c r="B250" t="s">
        <v>1981</v>
      </c>
      <c r="C250" t="s">
        <v>1982</v>
      </c>
    </row>
    <row r="251" spans="1:3" x14ac:dyDescent="0.2">
      <c r="A251">
        <v>196</v>
      </c>
      <c r="B251" t="s">
        <v>1983</v>
      </c>
      <c r="C251" t="s">
        <v>1984</v>
      </c>
    </row>
  </sheetData>
  <autoFilter ref="B1:C251" xr:uid="{00000000-0009-0000-0000-000001000000}"/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1"/>
    </sheetView>
  </sheetViews>
  <sheetFormatPr baseColWidth="10" defaultRowHeight="15" x14ac:dyDescent="0.2"/>
  <sheetData>
    <row r="1" spans="1:2" x14ac:dyDescent="0.2">
      <c r="A1" t="s">
        <v>1484</v>
      </c>
      <c r="B1" t="s">
        <v>1485</v>
      </c>
    </row>
    <row r="2" spans="1:2" x14ac:dyDescent="0.2">
      <c r="A2" t="s">
        <v>1985</v>
      </c>
      <c r="B2" t="s">
        <v>1985</v>
      </c>
    </row>
    <row r="3" spans="1:2" x14ac:dyDescent="0.2">
      <c r="A3" t="s">
        <v>1986</v>
      </c>
      <c r="B3" t="s">
        <v>1986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opLeftCell="A31" workbookViewId="0">
      <selection activeCell="C28" sqref="C28"/>
    </sheetView>
  </sheetViews>
  <sheetFormatPr baseColWidth="10" defaultColWidth="11.5" defaultRowHeight="15" x14ac:dyDescent="0.2"/>
  <cols>
    <col min="1" max="1" width="10.5" bestFit="1" customWidth="1"/>
    <col min="2" max="3" width="99.83203125" bestFit="1" customWidth="1"/>
  </cols>
  <sheetData>
    <row r="1" spans="1:3" x14ac:dyDescent="0.2">
      <c r="A1" t="s">
        <v>1484</v>
      </c>
      <c r="B1" t="s">
        <v>1987</v>
      </c>
      <c r="C1" t="s">
        <v>1485</v>
      </c>
    </row>
    <row r="2" spans="1:3" x14ac:dyDescent="0.2">
      <c r="A2" s="10">
        <v>0</v>
      </c>
      <c r="B2" s="10" t="s">
        <v>1988</v>
      </c>
      <c r="C2" s="10"/>
    </row>
    <row r="3" spans="1:3" x14ac:dyDescent="0.2">
      <c r="A3" s="10">
        <v>1</v>
      </c>
      <c r="B3" s="10" t="s">
        <v>1989</v>
      </c>
      <c r="C3" s="10" t="str">
        <f>CONCATENATE("""",bafingattungid__2[[#This Row],[Bedeutung]],"""")</f>
        <v>"Externe KVG (§§ 20 Abs. 2 und 21; 20 Abs. 3 und 22 KAGB) - zugelassene Kapitalverwaltungsgesellschaften"</v>
      </c>
    </row>
    <row r="4" spans="1:3" x14ac:dyDescent="0.2">
      <c r="A4" s="10">
        <v>2</v>
      </c>
      <c r="B4" s="10" t="s">
        <v>1990</v>
      </c>
      <c r="C4" s="10" t="str">
        <f>CONCATENATE("""",bafingattungid__2[[#This Row],[Bedeutung]],"""")</f>
        <v>"Interne KVG (§§ 20 Abs. 7 und 21; 20 Abs. 7 und 22 KAGB) - zugelassene Investmentaktien-/-kommanditgesellschaften"</v>
      </c>
    </row>
    <row r="5" spans="1:3" x14ac:dyDescent="0.2">
      <c r="A5" s="10">
        <v>3</v>
      </c>
      <c r="B5" s="10" t="s">
        <v>1991</v>
      </c>
      <c r="C5" s="10" t="str">
        <f>CONCATENATE("""",bafingattungid__2[[#This Row],[Bedeutung]],"""")</f>
        <v>"Börsenmakler"</v>
      </c>
    </row>
    <row r="6" spans="1:3" x14ac:dyDescent="0.2">
      <c r="A6" s="10">
        <v>4</v>
      </c>
      <c r="B6" s="10" t="s">
        <v>1992</v>
      </c>
      <c r="C6" s="10" t="str">
        <f>CONCATENATE("""",bafingattungid__2[[#This Row],[Bedeutung]],"""")</f>
        <v>"E-Geld-Institut"</v>
      </c>
    </row>
    <row r="7" spans="1:3" x14ac:dyDescent="0.2">
      <c r="A7" s="10">
        <v>5</v>
      </c>
      <c r="B7" s="10" t="s">
        <v>1993</v>
      </c>
      <c r="C7" s="10" t="str">
        <f>CONCATENATE("""",bafingattungid__2[[#This Row],[Bedeutung]],"""")</f>
        <v>"Einlagenkreditinstitut"</v>
      </c>
    </row>
    <row r="8" spans="1:3" x14ac:dyDescent="0.2">
      <c r="A8" s="10">
        <v>6</v>
      </c>
      <c r="B8" s="10" t="s">
        <v>1994</v>
      </c>
      <c r="C8" s="10" t="str">
        <f>CONCATENATE("""",bafingattungid__2[[#This Row],[Bedeutung]],"""")</f>
        <v>"Eur. EWR-Dienstleister, EbAV unter Rechtsaufsicht"</v>
      </c>
    </row>
    <row r="9" spans="1:3" x14ac:dyDescent="0.2">
      <c r="A9" s="10">
        <v>7</v>
      </c>
      <c r="B9" s="10" t="s">
        <v>1995</v>
      </c>
      <c r="C9" s="10" t="str">
        <f>CONCATENATE("""",bafingattungid__2[[#This Row],[Bedeutung]],"""")</f>
        <v>"Eur. EWR-Dienstleister, Versicherer unter Rechtsaufsicht"</v>
      </c>
    </row>
    <row r="10" spans="1:3" x14ac:dyDescent="0.2">
      <c r="A10" s="10">
        <v>8</v>
      </c>
      <c r="B10" s="10" t="s">
        <v>1996</v>
      </c>
      <c r="C10" s="10" t="str">
        <f>CONCATENATE("""",bafingattungid__2[[#This Row],[Bedeutung]],"""")</f>
        <v>"Eur. EWR-Dienstleister, Versicherer unter Rechtsaufsicht ohne Geschäftstätigkeit"</v>
      </c>
    </row>
    <row r="11" spans="1:3" x14ac:dyDescent="0.2">
      <c r="A11" s="10">
        <v>9</v>
      </c>
      <c r="B11" s="10" t="s">
        <v>1997</v>
      </c>
      <c r="C11" s="10" t="str">
        <f>CONCATENATE("""",bafingattungid__2[[#This Row],[Bedeutung]],"""")</f>
        <v>"Extern verwaltete AIF-InvAG"</v>
      </c>
    </row>
    <row r="12" spans="1:3" x14ac:dyDescent="0.2">
      <c r="A12" s="10">
        <v>10</v>
      </c>
      <c r="B12" s="10" t="s">
        <v>1998</v>
      </c>
      <c r="C12" s="10" t="str">
        <f>CONCATENATE("""",bafingattungid__2[[#This Row],[Bedeutung]],"""")</f>
        <v>"Extern verwaltete OGAW-InvAG (§ 113 Abs. 1 KAGB)"</v>
      </c>
    </row>
    <row r="13" spans="1:3" x14ac:dyDescent="0.2">
      <c r="A13" s="10">
        <v>11</v>
      </c>
      <c r="B13" s="10" t="s">
        <v>1999</v>
      </c>
      <c r="C13" s="10" t="str">
        <f>CONCATENATE("""",bafingattungid__2[[#This Row],[Bedeutung]],"""")</f>
        <v>"FDI (ohne Börsenmakler)"</v>
      </c>
    </row>
    <row r="14" spans="1:3" x14ac:dyDescent="0.2">
      <c r="A14" s="10">
        <v>12</v>
      </c>
      <c r="B14" s="10" t="s">
        <v>2000</v>
      </c>
      <c r="C14" s="10" t="str">
        <f>CONCATENATE("""",bafingattungid__2[[#This Row],[Bedeutung]],"""")</f>
        <v>"Freigestelltes sonstiges Institut"</v>
      </c>
    </row>
    <row r="15" spans="1:3" x14ac:dyDescent="0.2">
      <c r="A15" s="10">
        <v>13</v>
      </c>
      <c r="B15" s="10" t="s">
        <v>2001</v>
      </c>
      <c r="C15" s="10" t="str">
        <f>CONCATENATE("""",bafingattungid__2[[#This Row],[Bedeutung]],"""")</f>
        <v>"grenzüberschreitender Dienstleister (FDI) gem. § 53b KWG"</v>
      </c>
    </row>
    <row r="16" spans="1:3" x14ac:dyDescent="0.2">
      <c r="A16" s="10">
        <v>14</v>
      </c>
      <c r="B16" s="10" t="s">
        <v>2002</v>
      </c>
      <c r="C16" s="10" t="str">
        <f>CONCATENATE("""",bafingattungid__2[[#This Row],[Bedeutung]],"""")</f>
        <v>"grenzüberschreitender Dienstleister (KI) gem. § 53b KWG"</v>
      </c>
    </row>
    <row r="17" spans="1:3" x14ac:dyDescent="0.2">
      <c r="A17" s="10">
        <v>15</v>
      </c>
      <c r="B17" s="10" t="s">
        <v>2003</v>
      </c>
      <c r="C17" s="10" t="str">
        <f>CONCATENATE("""",bafingattungid__2[[#This Row],[Bedeutung]],"""")</f>
        <v>"grenzüberschreitender Dienstleistungsverkehr (EU-AIF-VwG) gem. § 54 Abs. 1 KAGB"</v>
      </c>
    </row>
    <row r="18" spans="1:3" x14ac:dyDescent="0.2">
      <c r="A18" s="10">
        <v>16</v>
      </c>
      <c r="B18" s="10" t="s">
        <v>2004</v>
      </c>
      <c r="C18" s="10" t="str">
        <f>CONCATENATE("""",bafingattungid__2[[#This Row],[Bedeutung]],"""")</f>
        <v>"grenzüberschreitender Dienstleistungsverkehr (EU-OGAW-VwG) gem. § 51 Abs. 1, 3 KAGB"</v>
      </c>
    </row>
    <row r="19" spans="1:3" x14ac:dyDescent="0.2">
      <c r="A19" s="10">
        <v>17</v>
      </c>
      <c r="B19" s="10" t="s">
        <v>2005</v>
      </c>
      <c r="C19" s="10" t="str">
        <f>CONCATENATE("""",bafingattungid__2[[#This Row],[Bedeutung]],"""")</f>
        <v>"Inländische Zweigniederlassung (EU-OGAW-VwG) gem. § 51 Abs. 1, 2 KAGB"</v>
      </c>
    </row>
    <row r="20" spans="1:3" x14ac:dyDescent="0.2">
      <c r="A20" s="10">
        <v>18</v>
      </c>
      <c r="B20" s="10" t="s">
        <v>2006</v>
      </c>
      <c r="C20" s="10" t="str">
        <f>CONCATENATE("""",bafingattungid__2[[#This Row],[Bedeutung]],"""")</f>
        <v>"Investmentaktiengesellschaft"</v>
      </c>
    </row>
    <row r="21" spans="1:3" x14ac:dyDescent="0.2">
      <c r="A21" s="10">
        <v>19</v>
      </c>
      <c r="B21" s="10" t="s">
        <v>2007</v>
      </c>
      <c r="C21" s="10" t="str">
        <f>CONCATENATE("""",bafingattungid__2[[#This Row],[Bedeutung]],"""")</f>
        <v>"KAG"</v>
      </c>
    </row>
    <row r="22" spans="1:3" x14ac:dyDescent="0.2">
      <c r="A22" s="10">
        <v>20</v>
      </c>
      <c r="B22" s="10" t="s">
        <v>2008</v>
      </c>
      <c r="C22" s="10" t="str">
        <f>CONCATENATE("""",bafingattungid__2[[#This Row],[Bedeutung]],"""")</f>
        <v>"Krankenversicherer unter Bundesaufsicht"</v>
      </c>
    </row>
    <row r="23" spans="1:3" x14ac:dyDescent="0.2">
      <c r="A23" s="10">
        <v>21</v>
      </c>
      <c r="B23" s="10" t="s">
        <v>2009</v>
      </c>
      <c r="C23" s="10" t="str">
        <f>CONCATENATE("""",bafingattungid__2[[#This Row],[Bedeutung]],"""")</f>
        <v>"Lebensversicherer unter Bundesaufsicht"</v>
      </c>
    </row>
    <row r="24" spans="1:3" x14ac:dyDescent="0.2">
      <c r="A24" s="10">
        <v>22</v>
      </c>
      <c r="B24" s="10" t="s">
        <v>2010</v>
      </c>
      <c r="C24" s="10" t="str">
        <f>CONCATENATE("""",bafingattungid__2[[#This Row],[Bedeutung]],"""")</f>
        <v>"Lebensversicherer unter Bundesaufsicht ohne Geschäftstätigkeit"</v>
      </c>
    </row>
    <row r="25" spans="1:3" x14ac:dyDescent="0.2">
      <c r="A25" s="10">
        <v>23</v>
      </c>
      <c r="B25" s="10" t="s">
        <v>2011</v>
      </c>
      <c r="C25" s="10" t="str">
        <f>CONCATENATE("""",bafingattungid__2[[#This Row],[Bedeutung]],"""")</f>
        <v>"Lebensversicherer unter Rechtsaufsicht"</v>
      </c>
    </row>
    <row r="26" spans="1:3" x14ac:dyDescent="0.2">
      <c r="A26" s="10">
        <v>24</v>
      </c>
      <c r="B26" s="10" t="s">
        <v>2012</v>
      </c>
      <c r="C26" s="10" t="str">
        <f>CONCATENATE("""",bafingattungid__2[[#This Row],[Bedeutung]],"""")</f>
        <v>"Pensionsfonds unter Bundesaufsicht"</v>
      </c>
    </row>
    <row r="27" spans="1:3" x14ac:dyDescent="0.2">
      <c r="A27" s="10">
        <v>25</v>
      </c>
      <c r="B27" s="10" t="s">
        <v>2013</v>
      </c>
      <c r="C27" s="10" t="str">
        <f>CONCATENATE("""",bafingattungid__2[[#This Row],[Bedeutung]],"""")</f>
        <v>"Pensionskasse unter Bundesaufsicht"</v>
      </c>
    </row>
    <row r="28" spans="1:3" x14ac:dyDescent="0.2">
      <c r="A28" s="10">
        <v>26</v>
      </c>
      <c r="B28" s="10" t="s">
        <v>2014</v>
      </c>
      <c r="C28" s="10" t="str">
        <f>CONCATENATE("""",bafingattungid__2[[#This Row],[Bedeutung]],"""")</f>
        <v>"Pensionskasse unter Bundesaufsicht ohne Geschäftstätigkeit"</v>
      </c>
    </row>
    <row r="29" spans="1:3" x14ac:dyDescent="0.2">
      <c r="A29" s="10">
        <v>27</v>
      </c>
      <c r="B29" s="10" t="s">
        <v>2015</v>
      </c>
      <c r="C29" s="10" t="str">
        <f>CONCATENATE("""",bafingattungid__2[[#This Row],[Bedeutung]],"""")</f>
        <v>"Registrierte AIF-KVG (§ 44 KAGB) - registrierte Kapitalverwaltungsgesellschaften"</v>
      </c>
    </row>
    <row r="30" spans="1:3" x14ac:dyDescent="0.2">
      <c r="A30" s="10">
        <v>28</v>
      </c>
      <c r="B30" s="10" t="s">
        <v>2016</v>
      </c>
      <c r="C30" s="10" t="str">
        <f>CONCATENATE("""",bafingattungid__2[[#This Row],[Bedeutung]],"""")</f>
        <v>"Repräsentanz (FDI) in Deutschland"</v>
      </c>
    </row>
    <row r="31" spans="1:3" x14ac:dyDescent="0.2">
      <c r="A31" s="10">
        <v>29</v>
      </c>
      <c r="B31" s="10" t="s">
        <v>2017</v>
      </c>
      <c r="C31" s="10" t="str">
        <f>CONCATENATE("""",bafingattungid__2[[#This Row],[Bedeutung]],"""")</f>
        <v>"Repräsentanz (KI) in Deutschland"</v>
      </c>
    </row>
    <row r="32" spans="1:3" x14ac:dyDescent="0.2">
      <c r="A32" s="10">
        <v>30</v>
      </c>
      <c r="B32" s="10" t="s">
        <v>2018</v>
      </c>
      <c r="C32" s="10" t="str">
        <f>CONCATENATE("""",bafingattungid__2[[#This Row],[Bedeutung]],"""")</f>
        <v>"Rückversicherer unter Bundesaufsicht"</v>
      </c>
    </row>
    <row r="33" spans="1:3" x14ac:dyDescent="0.2">
      <c r="A33" s="10">
        <v>31</v>
      </c>
      <c r="B33" s="10" t="s">
        <v>2019</v>
      </c>
      <c r="C33" s="10" t="str">
        <f>CONCATENATE("""",bafingattungid__2[[#This Row],[Bedeutung]],"""")</f>
        <v>"Rückversicherer unter Bundesaufsicht ohne Geschäftstätigkeit"</v>
      </c>
    </row>
    <row r="34" spans="1:3" x14ac:dyDescent="0.2">
      <c r="A34" s="10">
        <v>32</v>
      </c>
      <c r="B34" s="10" t="s">
        <v>2020</v>
      </c>
      <c r="C34" s="10" t="str">
        <f>CONCATENATE("""",bafingattungid__2[[#This Row],[Bedeutung]],"""")</f>
        <v>"Rückversicherer unter Rechtsaufsicht"</v>
      </c>
    </row>
    <row r="35" spans="1:3" x14ac:dyDescent="0.2">
      <c r="A35" s="10">
        <v>33</v>
      </c>
      <c r="B35" s="10" t="s">
        <v>2021</v>
      </c>
      <c r="C35" s="10" t="str">
        <f>CONCATENATE("""",bafingattungid__2[[#This Row],[Bedeutung]],"""")</f>
        <v>"Schaden- und Unfallversicherer unter Bundesaufsicht"</v>
      </c>
    </row>
    <row r="36" spans="1:3" x14ac:dyDescent="0.2">
      <c r="A36" s="10">
        <v>34</v>
      </c>
      <c r="B36" s="10" t="s">
        <v>2022</v>
      </c>
      <c r="C36" s="10" t="str">
        <f>CONCATENATE("""",bafingattungid__2[[#This Row],[Bedeutung]],"""")</f>
        <v>"Schaden- und Unfallversicherer unter Bundesaufsicht ohne Geschäftstätigkeit"</v>
      </c>
    </row>
    <row r="37" spans="1:3" x14ac:dyDescent="0.2">
      <c r="A37" s="10">
        <v>35</v>
      </c>
      <c r="B37" s="10" t="s">
        <v>2023</v>
      </c>
      <c r="C37" s="10" t="str">
        <f>CONCATENATE("""",bafingattungid__2[[#This Row],[Bedeutung]],"""")</f>
        <v>"Schaden- und Unfallversicherer unter Rechtsaufsicht"</v>
      </c>
    </row>
    <row r="38" spans="1:3" x14ac:dyDescent="0.2">
      <c r="A38" s="10">
        <v>36</v>
      </c>
      <c r="B38" s="10" t="s">
        <v>2024</v>
      </c>
      <c r="C38" s="10" t="str">
        <f>CONCATENATE("""",bafingattungid__2[[#This Row],[Bedeutung]],"""")</f>
        <v>"sonstiges Institut"</v>
      </c>
    </row>
    <row r="39" spans="1:3" x14ac:dyDescent="0.2">
      <c r="A39" s="10">
        <v>37</v>
      </c>
      <c r="B39" s="10" t="s">
        <v>2025</v>
      </c>
      <c r="C39" s="10" t="str">
        <f>CONCATENATE("""",bafingattungid__2[[#This Row],[Bedeutung]],"""")</f>
        <v>"Sterbekasse unter Bundesaufsicht"</v>
      </c>
    </row>
    <row r="40" spans="1:3" x14ac:dyDescent="0.2">
      <c r="A40" s="10">
        <v>38</v>
      </c>
      <c r="B40" s="10" t="s">
        <v>2026</v>
      </c>
      <c r="C40" s="10" t="str">
        <f>CONCATENATE("""",bafingattungid__2[[#This Row],[Bedeutung]],"""")</f>
        <v>"Sterbekasse unter Bundesaufsicht ohne Geschäftstätigkeit"</v>
      </c>
    </row>
    <row r="41" spans="1:3" x14ac:dyDescent="0.2">
      <c r="A41" s="10">
        <v>39</v>
      </c>
      <c r="B41" s="10" t="s">
        <v>2027</v>
      </c>
      <c r="C41" s="10" t="str">
        <f>CONCATENATE("""",bafingattungid__2[[#This Row],[Bedeutung]],"""")</f>
        <v>"Wertpapierhandelsbank"</v>
      </c>
    </row>
    <row r="42" spans="1:3" x14ac:dyDescent="0.2">
      <c r="A42" s="10">
        <v>40</v>
      </c>
      <c r="B42" s="10" t="s">
        <v>2028</v>
      </c>
      <c r="C42" s="10" t="str">
        <f>CONCATENATE("""",bafingattungid__2[[#This Row],[Bedeutung]],"""")</f>
        <v>"Zweigniederlassung (FDI) gem. § 53b KWG"</v>
      </c>
    </row>
    <row r="43" spans="1:3" x14ac:dyDescent="0.2">
      <c r="A43" s="10">
        <v>41</v>
      </c>
      <c r="B43" s="10" t="s">
        <v>2029</v>
      </c>
      <c r="C43" s="10" t="str">
        <f>CONCATENATE("""",bafingattungid__2[[#This Row],[Bedeutung]],"""")</f>
        <v>"Zweigniederlassung (KI) gem. § 53b KWG"</v>
      </c>
    </row>
    <row r="44" spans="1:3" x14ac:dyDescent="0.2">
      <c r="A44" s="10">
        <v>42</v>
      </c>
      <c r="B44" s="10" t="s">
        <v>2030</v>
      </c>
      <c r="C44" s="10" t="str">
        <f>CONCATENATE("""",bafingattungid__2[[#This Row],[Bedeutung]],"""")</f>
        <v>"Zweigstelle (FDI) gem. § 53 KWG"</v>
      </c>
    </row>
    <row r="45" spans="1:3" x14ac:dyDescent="0.2">
      <c r="A45" s="10">
        <v>43</v>
      </c>
      <c r="B45" s="10" t="s">
        <v>2031</v>
      </c>
      <c r="C45" s="10" t="str">
        <f>CONCATENATE("""",bafingattungid__2[[#This Row],[Bedeutung]],"""")</f>
        <v>"Zweigstelle (KI) gem. § 53 KWG"</v>
      </c>
    </row>
    <row r="46" spans="1:3" x14ac:dyDescent="0.2">
      <c r="A46" s="10">
        <v>44</v>
      </c>
      <c r="B46" s="10" t="s">
        <v>2032</v>
      </c>
      <c r="C46" s="10" t="str">
        <f>CONCATENATE("""",bafingattungid__2[[#This Row],[Bedeutung]],"""")</f>
        <v>"grenzüberschreitender Dienstleistungsverkehr (EU-VwG)"</v>
      </c>
    </row>
    <row r="47" spans="1:3" x14ac:dyDescent="0.2">
      <c r="A47" s="10">
        <v>45</v>
      </c>
      <c r="B47" s="10" t="s">
        <v>2033</v>
      </c>
      <c r="C47" s="10" t="str">
        <f>CONCATENATE("""",bafingattungid__2[[#This Row],[Bedeutung]],"""")</f>
        <v>"Inländische Zweigniederlassung (EU-VwG)"</v>
      </c>
    </row>
    <row r="48" spans="1:3" x14ac:dyDescent="0.2">
      <c r="A48" s="10">
        <v>46</v>
      </c>
      <c r="B48" s="10" t="s">
        <v>2034</v>
      </c>
      <c r="C48" s="10" t="str">
        <f>CONCATENATE("""",bafingattungid__2[[#This Row],[Bedeutung]],"""")</f>
        <v>"CRR-Kreditinstitut"</v>
      </c>
    </row>
    <row r="49" spans="1:3" x14ac:dyDescent="0.2">
      <c r="A49" s="10">
        <v>47</v>
      </c>
      <c r="B49" s="10" t="s">
        <v>2035</v>
      </c>
      <c r="C49" s="10" t="str">
        <f>CONCATENATE("""",bafingattungid__2[[#This Row],[Bedeutung]],"""")</f>
        <v>"Zahlungsinstitut (ZAG)"</v>
      </c>
    </row>
    <row r="50" spans="1:3" x14ac:dyDescent="0.2">
      <c r="A50" s="10">
        <v>48</v>
      </c>
      <c r="B50" s="10" t="s">
        <v>2036</v>
      </c>
      <c r="C50" s="10" t="str">
        <f>CONCATENATE("""",bafingattungid__2[[#This Row],[Bedeutung]],"""")</f>
        <v>"EWR-Dienstleister, Versicherer unter Rechtsaufsicht"</v>
      </c>
    </row>
    <row r="51" spans="1:3" x14ac:dyDescent="0.2">
      <c r="A51" s="10">
        <v>49</v>
      </c>
      <c r="B51" s="10" t="s">
        <v>2037</v>
      </c>
      <c r="C51" s="10" t="str">
        <f>CONCATENATE("""",bafingattungid__2[[#This Row],[Bedeutung]],"""")</f>
        <v>"Datenbereitstellungsdienst"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2"/>
  <sheetViews>
    <sheetView workbookViewId="0">
      <selection activeCell="D37" sqref="D37"/>
    </sheetView>
  </sheetViews>
  <sheetFormatPr baseColWidth="10" defaultRowHeight="15" x14ac:dyDescent="0.2"/>
  <cols>
    <col min="1" max="1" width="46.1640625" bestFit="1" customWidth="1"/>
    <col min="2" max="2" width="17" customWidth="1"/>
    <col min="3" max="3" width="14.1640625" customWidth="1"/>
  </cols>
  <sheetData>
    <row r="1" spans="1:3" x14ac:dyDescent="0.2">
      <c r="A1" s="16" t="s">
        <v>2038</v>
      </c>
      <c r="B1" s="16" t="s">
        <v>2039</v>
      </c>
      <c r="C1" s="16" t="s">
        <v>2040</v>
      </c>
    </row>
    <row r="2" spans="1:3" x14ac:dyDescent="0.2">
      <c r="A2" t="s">
        <v>2041</v>
      </c>
      <c r="B2" t="s">
        <v>2042</v>
      </c>
      <c r="C2" t="s">
        <v>2043</v>
      </c>
    </row>
    <row r="3" spans="1:3" x14ac:dyDescent="0.2">
      <c r="A3" t="s">
        <v>2044</v>
      </c>
      <c r="B3" t="s">
        <v>2045</v>
      </c>
      <c r="C3" t="s">
        <v>2043</v>
      </c>
    </row>
    <row r="4" spans="1:3" x14ac:dyDescent="0.2">
      <c r="A4" t="s">
        <v>2046</v>
      </c>
      <c r="B4" t="s">
        <v>2047</v>
      </c>
      <c r="C4" t="s">
        <v>2043</v>
      </c>
    </row>
    <row r="5" spans="1:3" x14ac:dyDescent="0.2">
      <c r="A5" t="s">
        <v>2048</v>
      </c>
      <c r="B5" t="s">
        <v>2049</v>
      </c>
      <c r="C5" t="s">
        <v>2043</v>
      </c>
    </row>
    <row r="6" spans="1:3" x14ac:dyDescent="0.2">
      <c r="A6" t="s">
        <v>2050</v>
      </c>
      <c r="B6" t="s">
        <v>2051</v>
      </c>
      <c r="C6" t="s">
        <v>2043</v>
      </c>
    </row>
    <row r="7" spans="1:3" x14ac:dyDescent="0.2">
      <c r="A7" t="s">
        <v>2052</v>
      </c>
      <c r="B7" t="s">
        <v>2053</v>
      </c>
      <c r="C7" t="s">
        <v>2043</v>
      </c>
    </row>
    <row r="8" spans="1:3" x14ac:dyDescent="0.2">
      <c r="A8" t="s">
        <v>2054</v>
      </c>
      <c r="B8" t="s">
        <v>2055</v>
      </c>
      <c r="C8" t="s">
        <v>2043</v>
      </c>
    </row>
    <row r="9" spans="1:3" x14ac:dyDescent="0.2">
      <c r="A9" t="s">
        <v>2056</v>
      </c>
      <c r="B9" t="s">
        <v>2057</v>
      </c>
      <c r="C9" t="s">
        <v>2043</v>
      </c>
    </row>
    <row r="10" spans="1:3" x14ac:dyDescent="0.2">
      <c r="A10" t="s">
        <v>2058</v>
      </c>
      <c r="B10" t="s">
        <v>2059</v>
      </c>
      <c r="C10" t="s">
        <v>2043</v>
      </c>
    </row>
    <row r="11" spans="1:3" x14ac:dyDescent="0.2">
      <c r="A11" t="s">
        <v>2060</v>
      </c>
      <c r="B11" t="s">
        <v>2061</v>
      </c>
      <c r="C11" t="s">
        <v>2043</v>
      </c>
    </row>
    <row r="12" spans="1:3" x14ac:dyDescent="0.2">
      <c r="A12" t="s">
        <v>2062</v>
      </c>
      <c r="B12" t="s">
        <v>2063</v>
      </c>
      <c r="C12" t="s">
        <v>2064</v>
      </c>
    </row>
    <row r="13" spans="1:3" x14ac:dyDescent="0.2">
      <c r="A13" t="s">
        <v>2065</v>
      </c>
      <c r="B13" t="s">
        <v>2066</v>
      </c>
      <c r="C13" t="s">
        <v>2067</v>
      </c>
    </row>
    <row r="14" spans="1:3" x14ac:dyDescent="0.2">
      <c r="A14" t="s">
        <v>2068</v>
      </c>
      <c r="B14" t="s">
        <v>2069</v>
      </c>
      <c r="C14" t="s">
        <v>2070</v>
      </c>
    </row>
    <row r="15" spans="1:3" x14ac:dyDescent="0.2">
      <c r="A15" t="s">
        <v>2071</v>
      </c>
      <c r="B15" t="s">
        <v>2072</v>
      </c>
      <c r="C15" t="s">
        <v>2073</v>
      </c>
    </row>
    <row r="16" spans="1:3" x14ac:dyDescent="0.2">
      <c r="A16" t="s">
        <v>2074</v>
      </c>
      <c r="B16" t="s">
        <v>2075</v>
      </c>
      <c r="C16" t="s">
        <v>2073</v>
      </c>
    </row>
    <row r="17" spans="1:3" x14ac:dyDescent="0.2">
      <c r="A17" t="s">
        <v>2076</v>
      </c>
      <c r="B17" t="s">
        <v>2077</v>
      </c>
      <c r="C17" t="s">
        <v>2078</v>
      </c>
    </row>
    <row r="18" spans="1:3" x14ac:dyDescent="0.2">
      <c r="A18" t="s">
        <v>2079</v>
      </c>
      <c r="B18" t="s">
        <v>2080</v>
      </c>
      <c r="C18" t="s">
        <v>2073</v>
      </c>
    </row>
    <row r="19" spans="1:3" x14ac:dyDescent="0.2">
      <c r="A19" t="s">
        <v>2081</v>
      </c>
      <c r="B19" t="s">
        <v>2082</v>
      </c>
      <c r="C19" t="s">
        <v>2073</v>
      </c>
    </row>
    <row r="20" spans="1:3" x14ac:dyDescent="0.2">
      <c r="A20" t="s">
        <v>2083</v>
      </c>
      <c r="B20" t="s">
        <v>2084</v>
      </c>
      <c r="C20" t="s">
        <v>2085</v>
      </c>
    </row>
    <row r="21" spans="1:3" x14ac:dyDescent="0.2">
      <c r="A21" t="s">
        <v>2086</v>
      </c>
      <c r="B21" t="s">
        <v>2087</v>
      </c>
      <c r="C21" t="s">
        <v>2088</v>
      </c>
    </row>
    <row r="22" spans="1:3" x14ac:dyDescent="0.2">
      <c r="A22" t="s">
        <v>2089</v>
      </c>
      <c r="B22" t="s">
        <v>2090</v>
      </c>
      <c r="C22" t="s">
        <v>2091</v>
      </c>
    </row>
    <row r="23" spans="1:3" x14ac:dyDescent="0.2">
      <c r="A23" t="s">
        <v>2092</v>
      </c>
      <c r="B23" t="s">
        <v>2093</v>
      </c>
      <c r="C23" t="s">
        <v>2094</v>
      </c>
    </row>
    <row r="24" spans="1:3" x14ac:dyDescent="0.2">
      <c r="A24" t="s">
        <v>2095</v>
      </c>
      <c r="B24" t="s">
        <v>2096</v>
      </c>
      <c r="C24" t="s">
        <v>2097</v>
      </c>
    </row>
    <row r="25" spans="1:3" x14ac:dyDescent="0.2">
      <c r="A25" t="s">
        <v>2098</v>
      </c>
      <c r="B25" t="s">
        <v>2099</v>
      </c>
      <c r="C25" t="s">
        <v>2100</v>
      </c>
    </row>
    <row r="26" spans="1:3" x14ac:dyDescent="0.2">
      <c r="A26" t="s">
        <v>2101</v>
      </c>
      <c r="B26" t="s">
        <v>2102</v>
      </c>
      <c r="C26" t="s">
        <v>2103</v>
      </c>
    </row>
    <row r="27" spans="1:3" x14ac:dyDescent="0.2">
      <c r="A27" t="s">
        <v>2104</v>
      </c>
      <c r="B27" t="s">
        <v>2105</v>
      </c>
      <c r="C27" t="s">
        <v>2106</v>
      </c>
    </row>
    <row r="28" spans="1:3" x14ac:dyDescent="0.2">
      <c r="A28" t="s">
        <v>2107</v>
      </c>
      <c r="B28" t="s">
        <v>2108</v>
      </c>
      <c r="C28" t="s">
        <v>2109</v>
      </c>
    </row>
    <row r="29" spans="1:3" x14ac:dyDescent="0.2">
      <c r="A29" t="s">
        <v>2110</v>
      </c>
      <c r="B29" t="s">
        <v>2111</v>
      </c>
      <c r="C29" t="s">
        <v>2112</v>
      </c>
    </row>
    <row r="30" spans="1:3" x14ac:dyDescent="0.2">
      <c r="A30" t="s">
        <v>2113</v>
      </c>
      <c r="B30" t="s">
        <v>2114</v>
      </c>
      <c r="C30" t="s">
        <v>2115</v>
      </c>
    </row>
    <row r="31" spans="1:3" x14ac:dyDescent="0.2">
      <c r="A31" t="s">
        <v>2116</v>
      </c>
      <c r="B31" t="s">
        <v>2117</v>
      </c>
      <c r="C31" t="s">
        <v>2118</v>
      </c>
    </row>
    <row r="32" spans="1:3" x14ac:dyDescent="0.2">
      <c r="A32" t="s">
        <v>2119</v>
      </c>
      <c r="B32" t="s">
        <v>2120</v>
      </c>
      <c r="C32" t="s">
        <v>2121</v>
      </c>
    </row>
    <row r="33" spans="1:3" x14ac:dyDescent="0.2">
      <c r="A33" t="s">
        <v>2122</v>
      </c>
      <c r="B33" t="s">
        <v>2123</v>
      </c>
      <c r="C33" t="s">
        <v>2124</v>
      </c>
    </row>
    <row r="34" spans="1:3" x14ac:dyDescent="0.2">
      <c r="A34" t="s">
        <v>2125</v>
      </c>
      <c r="B34" t="s">
        <v>2126</v>
      </c>
      <c r="C34" t="s">
        <v>2127</v>
      </c>
    </row>
    <row r="35" spans="1:3" x14ac:dyDescent="0.2">
      <c r="A35" t="s">
        <v>2128</v>
      </c>
      <c r="B35" t="s">
        <v>2129</v>
      </c>
      <c r="C35" t="s">
        <v>2130</v>
      </c>
    </row>
    <row r="36" spans="1:3" x14ac:dyDescent="0.2">
      <c r="A36" t="s">
        <v>2131</v>
      </c>
      <c r="B36" t="s">
        <v>2132</v>
      </c>
      <c r="C36" t="s">
        <v>2133</v>
      </c>
    </row>
    <row r="37" spans="1:3" x14ac:dyDescent="0.2">
      <c r="A37" t="s">
        <v>2134</v>
      </c>
      <c r="B37" t="s">
        <v>2135</v>
      </c>
      <c r="C37" t="s">
        <v>2136</v>
      </c>
    </row>
    <row r="38" spans="1:3" x14ac:dyDescent="0.2">
      <c r="A38" t="s">
        <v>2137</v>
      </c>
      <c r="B38" t="s">
        <v>2138</v>
      </c>
      <c r="C38" t="s">
        <v>2139</v>
      </c>
    </row>
    <row r="39" spans="1:3" x14ac:dyDescent="0.2">
      <c r="A39" t="s">
        <v>2140</v>
      </c>
      <c r="B39" t="s">
        <v>2141</v>
      </c>
      <c r="C39" t="s">
        <v>2142</v>
      </c>
    </row>
    <row r="40" spans="1:3" x14ac:dyDescent="0.2">
      <c r="A40" t="s">
        <v>2143</v>
      </c>
      <c r="B40" t="s">
        <v>2144</v>
      </c>
      <c r="C40" t="s">
        <v>2112</v>
      </c>
    </row>
    <row r="41" spans="1:3" x14ac:dyDescent="0.2">
      <c r="A41" t="s">
        <v>2145</v>
      </c>
      <c r="B41" t="s">
        <v>2146</v>
      </c>
      <c r="C41" t="s">
        <v>2147</v>
      </c>
    </row>
    <row r="42" spans="1:3" x14ac:dyDescent="0.2">
      <c r="A42" t="s">
        <v>2148</v>
      </c>
      <c r="B42" t="s">
        <v>2149</v>
      </c>
      <c r="C42" t="s">
        <v>2150</v>
      </c>
    </row>
    <row r="43" spans="1:3" x14ac:dyDescent="0.2">
      <c r="A43" t="s">
        <v>2151</v>
      </c>
      <c r="B43" t="s">
        <v>2152</v>
      </c>
      <c r="C43" t="s">
        <v>2127</v>
      </c>
    </row>
    <row r="44" spans="1:3" x14ac:dyDescent="0.2">
      <c r="A44" t="s">
        <v>2153</v>
      </c>
      <c r="B44" t="s">
        <v>2154</v>
      </c>
      <c r="C44" t="s">
        <v>2106</v>
      </c>
    </row>
    <row r="45" spans="1:3" x14ac:dyDescent="0.2">
      <c r="A45" t="s">
        <v>2155</v>
      </c>
      <c r="B45" t="s">
        <v>2156</v>
      </c>
      <c r="C45" t="s">
        <v>2157</v>
      </c>
    </row>
    <row r="46" spans="1:3" x14ac:dyDescent="0.2">
      <c r="A46" t="s">
        <v>2158</v>
      </c>
      <c r="B46" t="s">
        <v>2159</v>
      </c>
      <c r="C46" t="s">
        <v>2160</v>
      </c>
    </row>
    <row r="47" spans="1:3" x14ac:dyDescent="0.2">
      <c r="A47" t="s">
        <v>2161</v>
      </c>
      <c r="B47" t="s">
        <v>2162</v>
      </c>
      <c r="C47" t="s">
        <v>2163</v>
      </c>
    </row>
    <row r="48" spans="1:3" x14ac:dyDescent="0.2">
      <c r="A48" t="s">
        <v>2164</v>
      </c>
      <c r="B48" t="s">
        <v>2165</v>
      </c>
      <c r="C48" t="s">
        <v>2166</v>
      </c>
    </row>
    <row r="49" spans="1:3" x14ac:dyDescent="0.2">
      <c r="A49" t="s">
        <v>2167</v>
      </c>
      <c r="B49" t="s">
        <v>2168</v>
      </c>
      <c r="C49" t="s">
        <v>2169</v>
      </c>
    </row>
    <row r="50" spans="1:3" x14ac:dyDescent="0.2">
      <c r="A50" t="s">
        <v>2170</v>
      </c>
      <c r="B50" t="s">
        <v>2171</v>
      </c>
      <c r="C50" t="s">
        <v>2172</v>
      </c>
    </row>
    <row r="51" spans="1:3" x14ac:dyDescent="0.2">
      <c r="A51" t="s">
        <v>2173</v>
      </c>
      <c r="B51" t="s">
        <v>2174</v>
      </c>
      <c r="C51" t="s">
        <v>2175</v>
      </c>
    </row>
    <row r="52" spans="1:3" x14ac:dyDescent="0.2">
      <c r="A52" t="s">
        <v>2176</v>
      </c>
      <c r="B52" t="s">
        <v>2177</v>
      </c>
      <c r="C52" t="s">
        <v>2064</v>
      </c>
    </row>
    <row r="53" spans="1:3" x14ac:dyDescent="0.2">
      <c r="A53" t="s">
        <v>2178</v>
      </c>
      <c r="B53" t="s">
        <v>2179</v>
      </c>
      <c r="C53" t="s">
        <v>2106</v>
      </c>
    </row>
    <row r="54" spans="1:3" x14ac:dyDescent="0.2">
      <c r="A54" t="s">
        <v>2180</v>
      </c>
      <c r="B54" t="s">
        <v>2181</v>
      </c>
      <c r="C54" t="s">
        <v>2182</v>
      </c>
    </row>
    <row r="55" spans="1:3" x14ac:dyDescent="0.2">
      <c r="A55" t="s">
        <v>2183</v>
      </c>
      <c r="B55" t="s">
        <v>2184</v>
      </c>
      <c r="C55" t="s">
        <v>2112</v>
      </c>
    </row>
    <row r="56" spans="1:3" x14ac:dyDescent="0.2">
      <c r="A56" t="s">
        <v>2185</v>
      </c>
      <c r="B56" t="s">
        <v>2186</v>
      </c>
      <c r="C56" t="s">
        <v>2169</v>
      </c>
    </row>
    <row r="57" spans="1:3" x14ac:dyDescent="0.2">
      <c r="A57" t="s">
        <v>2187</v>
      </c>
      <c r="B57" t="s">
        <v>2188</v>
      </c>
      <c r="C57" t="s">
        <v>2112</v>
      </c>
    </row>
    <row r="58" spans="1:3" x14ac:dyDescent="0.2">
      <c r="A58" t="s">
        <v>2189</v>
      </c>
      <c r="B58" t="s">
        <v>2190</v>
      </c>
      <c r="C58" t="s">
        <v>2127</v>
      </c>
    </row>
    <row r="59" spans="1:3" x14ac:dyDescent="0.2">
      <c r="A59" t="s">
        <v>2191</v>
      </c>
      <c r="B59" t="s">
        <v>2192</v>
      </c>
      <c r="C59" t="s">
        <v>2193</v>
      </c>
    </row>
    <row r="60" spans="1:3" x14ac:dyDescent="0.2">
      <c r="A60" t="s">
        <v>2194</v>
      </c>
      <c r="B60" t="s">
        <v>2195</v>
      </c>
      <c r="C60" t="s">
        <v>2196</v>
      </c>
    </row>
    <row r="61" spans="1:3" x14ac:dyDescent="0.2">
      <c r="A61" t="s">
        <v>2197</v>
      </c>
      <c r="B61" t="s">
        <v>2198</v>
      </c>
      <c r="C61" t="s">
        <v>2196</v>
      </c>
    </row>
    <row r="62" spans="1:3" x14ac:dyDescent="0.2">
      <c r="A62" t="s">
        <v>2199</v>
      </c>
      <c r="B62" t="s">
        <v>2200</v>
      </c>
      <c r="C62" t="s">
        <v>2201</v>
      </c>
    </row>
    <row r="63" spans="1:3" x14ac:dyDescent="0.2">
      <c r="A63" t="s">
        <v>2202</v>
      </c>
      <c r="B63" t="s">
        <v>2203</v>
      </c>
      <c r="C63" t="s">
        <v>2127</v>
      </c>
    </row>
    <row r="64" spans="1:3" x14ac:dyDescent="0.2">
      <c r="A64" t="s">
        <v>2204</v>
      </c>
      <c r="B64" t="s">
        <v>2205</v>
      </c>
      <c r="C64" t="s">
        <v>2206</v>
      </c>
    </row>
    <row r="65" spans="1:3" x14ac:dyDescent="0.2">
      <c r="A65" t="s">
        <v>2207</v>
      </c>
      <c r="B65" t="s">
        <v>2208</v>
      </c>
      <c r="C65" t="s">
        <v>2209</v>
      </c>
    </row>
    <row r="66" spans="1:3" x14ac:dyDescent="0.2">
      <c r="A66" t="s">
        <v>2210</v>
      </c>
      <c r="B66" t="s">
        <v>2211</v>
      </c>
      <c r="C66" t="s">
        <v>2064</v>
      </c>
    </row>
    <row r="67" spans="1:3" x14ac:dyDescent="0.2">
      <c r="A67" t="s">
        <v>2212</v>
      </c>
      <c r="B67" t="s">
        <v>2213</v>
      </c>
      <c r="C67" t="s">
        <v>2214</v>
      </c>
    </row>
    <row r="68" spans="1:3" x14ac:dyDescent="0.2">
      <c r="A68" t="s">
        <v>2215</v>
      </c>
      <c r="B68" t="s">
        <v>2216</v>
      </c>
      <c r="C68" t="s">
        <v>2217</v>
      </c>
    </row>
    <row r="69" spans="1:3" x14ac:dyDescent="0.2">
      <c r="A69" t="s">
        <v>2218</v>
      </c>
      <c r="B69" t="s">
        <v>2219</v>
      </c>
      <c r="C69" t="s">
        <v>2127</v>
      </c>
    </row>
    <row r="70" spans="1:3" x14ac:dyDescent="0.2">
      <c r="A70" t="s">
        <v>2220</v>
      </c>
      <c r="B70" t="s">
        <v>2221</v>
      </c>
      <c r="C70" t="s">
        <v>2088</v>
      </c>
    </row>
    <row r="71" spans="1:3" x14ac:dyDescent="0.2">
      <c r="A71" t="s">
        <v>2222</v>
      </c>
      <c r="B71" t="s">
        <v>2223</v>
      </c>
      <c r="C71" t="s">
        <v>2224</v>
      </c>
    </row>
    <row r="72" spans="1:3" x14ac:dyDescent="0.2">
      <c r="A72" t="s">
        <v>2225</v>
      </c>
      <c r="B72" t="s">
        <v>2226</v>
      </c>
      <c r="C72" t="s">
        <v>2227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2"/>
  <sheetViews>
    <sheetView topLeftCell="A76" workbookViewId="0">
      <selection activeCell="D93" sqref="D93"/>
    </sheetView>
  </sheetViews>
  <sheetFormatPr baseColWidth="10" defaultRowHeight="15" x14ac:dyDescent="0.2"/>
  <cols>
    <col min="1" max="1" width="25.83203125" customWidth="1"/>
    <col min="2" max="2" width="40.5" customWidth="1"/>
    <col min="3" max="3" width="44.5" customWidth="1"/>
  </cols>
  <sheetData>
    <row r="1" spans="1:3" x14ac:dyDescent="0.2">
      <c r="A1" s="16" t="s">
        <v>1484</v>
      </c>
      <c r="B1" s="16" t="s">
        <v>1485</v>
      </c>
      <c r="C1" s="16"/>
    </row>
    <row r="2" spans="1:3" x14ac:dyDescent="0.2">
      <c r="A2" t="s">
        <v>2228</v>
      </c>
      <c r="B2" t="s">
        <v>2228</v>
      </c>
    </row>
    <row r="3" spans="1:3" x14ac:dyDescent="0.2">
      <c r="A3" t="s">
        <v>2229</v>
      </c>
      <c r="B3" t="s">
        <v>2229</v>
      </c>
    </row>
    <row r="4" spans="1:3" x14ac:dyDescent="0.2">
      <c r="A4" t="s">
        <v>2230</v>
      </c>
      <c r="B4" t="s">
        <v>2230</v>
      </c>
    </row>
    <row r="5" spans="1:3" x14ac:dyDescent="0.2">
      <c r="A5" t="s">
        <v>2231</v>
      </c>
      <c r="B5" t="s">
        <v>2231</v>
      </c>
    </row>
    <row r="6" spans="1:3" x14ac:dyDescent="0.2">
      <c r="A6" t="s">
        <v>2232</v>
      </c>
      <c r="B6" t="s">
        <v>2232</v>
      </c>
    </row>
    <row r="7" spans="1:3" x14ac:dyDescent="0.2">
      <c r="A7" t="s">
        <v>2233</v>
      </c>
      <c r="B7" t="s">
        <v>2233</v>
      </c>
    </row>
    <row r="8" spans="1:3" x14ac:dyDescent="0.2">
      <c r="A8" t="s">
        <v>2234</v>
      </c>
      <c r="B8" t="s">
        <v>2234</v>
      </c>
    </row>
    <row r="9" spans="1:3" x14ac:dyDescent="0.2">
      <c r="A9" t="s">
        <v>2235</v>
      </c>
      <c r="B9" t="s">
        <v>2235</v>
      </c>
    </row>
    <row r="10" spans="1:3" x14ac:dyDescent="0.2">
      <c r="A10" t="s">
        <v>2236</v>
      </c>
      <c r="B10" t="s">
        <v>2236</v>
      </c>
    </row>
    <row r="11" spans="1:3" x14ac:dyDescent="0.2">
      <c r="A11" t="s">
        <v>2237</v>
      </c>
      <c r="B11" t="s">
        <v>2237</v>
      </c>
    </row>
    <row r="12" spans="1:3" x14ac:dyDescent="0.2">
      <c r="A12" t="s">
        <v>2238</v>
      </c>
      <c r="B12" t="s">
        <v>2238</v>
      </c>
    </row>
    <row r="13" spans="1:3" x14ac:dyDescent="0.2">
      <c r="A13" t="s">
        <v>2239</v>
      </c>
      <c r="B13" t="s">
        <v>2239</v>
      </c>
    </row>
    <row r="14" spans="1:3" x14ac:dyDescent="0.2">
      <c r="A14" t="s">
        <v>2240</v>
      </c>
      <c r="B14" t="s">
        <v>2240</v>
      </c>
    </row>
    <row r="15" spans="1:3" x14ac:dyDescent="0.2">
      <c r="A15" t="s">
        <v>2241</v>
      </c>
      <c r="B15" t="s">
        <v>2241</v>
      </c>
    </row>
    <row r="16" spans="1:3" x14ac:dyDescent="0.2">
      <c r="A16" t="s">
        <v>2242</v>
      </c>
      <c r="B16" t="s">
        <v>2242</v>
      </c>
    </row>
    <row r="17" spans="1:2" x14ac:dyDescent="0.2">
      <c r="A17" t="s">
        <v>2243</v>
      </c>
      <c r="B17" t="s">
        <v>2243</v>
      </c>
    </row>
    <row r="18" spans="1:2" x14ac:dyDescent="0.2">
      <c r="A18" t="s">
        <v>2244</v>
      </c>
      <c r="B18" t="s">
        <v>2244</v>
      </c>
    </row>
    <row r="19" spans="1:2" x14ac:dyDescent="0.2">
      <c r="A19" t="s">
        <v>2245</v>
      </c>
      <c r="B19" t="s">
        <v>2245</v>
      </c>
    </row>
    <row r="20" spans="1:2" x14ac:dyDescent="0.2">
      <c r="A20" t="s">
        <v>2246</v>
      </c>
      <c r="B20" t="s">
        <v>2246</v>
      </c>
    </row>
    <row r="21" spans="1:2" x14ac:dyDescent="0.2">
      <c r="A21" t="s">
        <v>2247</v>
      </c>
      <c r="B21" t="s">
        <v>2247</v>
      </c>
    </row>
    <row r="22" spans="1:2" x14ac:dyDescent="0.2">
      <c r="A22" t="s">
        <v>2248</v>
      </c>
      <c r="B22" t="s">
        <v>2248</v>
      </c>
    </row>
    <row r="23" spans="1:2" x14ac:dyDescent="0.2">
      <c r="A23" t="s">
        <v>2249</v>
      </c>
      <c r="B23" t="s">
        <v>2249</v>
      </c>
    </row>
    <row r="24" spans="1:2" x14ac:dyDescent="0.2">
      <c r="A24" t="s">
        <v>2250</v>
      </c>
      <c r="B24" t="s">
        <v>2250</v>
      </c>
    </row>
    <row r="25" spans="1:2" x14ac:dyDescent="0.2">
      <c r="A25" t="s">
        <v>2251</v>
      </c>
      <c r="B25" t="s">
        <v>2251</v>
      </c>
    </row>
    <row r="26" spans="1:2" x14ac:dyDescent="0.2">
      <c r="A26" t="s">
        <v>2252</v>
      </c>
      <c r="B26" t="s">
        <v>2252</v>
      </c>
    </row>
    <row r="27" spans="1:2" x14ac:dyDescent="0.2">
      <c r="A27" t="s">
        <v>2253</v>
      </c>
      <c r="B27" t="s">
        <v>2253</v>
      </c>
    </row>
    <row r="28" spans="1:2" x14ac:dyDescent="0.2">
      <c r="A28" t="s">
        <v>2254</v>
      </c>
      <c r="B28" t="s">
        <v>2254</v>
      </c>
    </row>
    <row r="29" spans="1:2" x14ac:dyDescent="0.2">
      <c r="A29" t="s">
        <v>2255</v>
      </c>
      <c r="B29" t="s">
        <v>2255</v>
      </c>
    </row>
    <row r="30" spans="1:2" x14ac:dyDescent="0.2">
      <c r="A30" t="s">
        <v>2256</v>
      </c>
      <c r="B30" t="s">
        <v>2256</v>
      </c>
    </row>
    <row r="31" spans="1:2" x14ac:dyDescent="0.2">
      <c r="A31" t="s">
        <v>2257</v>
      </c>
      <c r="B31" t="s">
        <v>2257</v>
      </c>
    </row>
    <row r="32" spans="1:2" x14ac:dyDescent="0.2">
      <c r="A32" t="s">
        <v>2258</v>
      </c>
      <c r="B32" t="s">
        <v>2258</v>
      </c>
    </row>
    <row r="33" spans="1:2" x14ac:dyDescent="0.2">
      <c r="A33" t="s">
        <v>2259</v>
      </c>
      <c r="B33" t="s">
        <v>2259</v>
      </c>
    </row>
    <row r="34" spans="1:2" x14ac:dyDescent="0.2">
      <c r="A34" t="s">
        <v>2260</v>
      </c>
      <c r="B34" t="s">
        <v>2260</v>
      </c>
    </row>
    <row r="35" spans="1:2" x14ac:dyDescent="0.2">
      <c r="A35" t="s">
        <v>2261</v>
      </c>
      <c r="B35" t="s">
        <v>2261</v>
      </c>
    </row>
    <row r="36" spans="1:2" x14ac:dyDescent="0.2">
      <c r="A36" t="s">
        <v>2262</v>
      </c>
      <c r="B36" t="s">
        <v>2262</v>
      </c>
    </row>
    <row r="37" spans="1:2" x14ac:dyDescent="0.2">
      <c r="A37" t="s">
        <v>2263</v>
      </c>
      <c r="B37" t="s">
        <v>2263</v>
      </c>
    </row>
    <row r="38" spans="1:2" x14ac:dyDescent="0.2">
      <c r="A38" t="s">
        <v>2264</v>
      </c>
      <c r="B38" t="s">
        <v>2264</v>
      </c>
    </row>
    <row r="39" spans="1:2" x14ac:dyDescent="0.2">
      <c r="A39" t="s">
        <v>2265</v>
      </c>
      <c r="B39" t="s">
        <v>2265</v>
      </c>
    </row>
    <row r="40" spans="1:2" x14ac:dyDescent="0.2">
      <c r="A40" t="s">
        <v>2266</v>
      </c>
      <c r="B40" t="s">
        <v>2266</v>
      </c>
    </row>
    <row r="41" spans="1:2" x14ac:dyDescent="0.2">
      <c r="A41" t="s">
        <v>2267</v>
      </c>
      <c r="B41" t="s">
        <v>2267</v>
      </c>
    </row>
    <row r="42" spans="1:2" x14ac:dyDescent="0.2">
      <c r="A42" t="s">
        <v>2268</v>
      </c>
      <c r="B42" t="s">
        <v>2268</v>
      </c>
    </row>
    <row r="43" spans="1:2" x14ac:dyDescent="0.2">
      <c r="A43" t="s">
        <v>2269</v>
      </c>
      <c r="B43" t="s">
        <v>2269</v>
      </c>
    </row>
    <row r="44" spans="1:2" x14ac:dyDescent="0.2">
      <c r="A44" t="s">
        <v>2270</v>
      </c>
      <c r="B44" t="s">
        <v>2270</v>
      </c>
    </row>
    <row r="45" spans="1:2" x14ac:dyDescent="0.2">
      <c r="A45" t="s">
        <v>2271</v>
      </c>
      <c r="B45" t="s">
        <v>2271</v>
      </c>
    </row>
    <row r="46" spans="1:2" x14ac:dyDescent="0.2">
      <c r="A46" t="s">
        <v>2272</v>
      </c>
      <c r="B46" t="s">
        <v>2272</v>
      </c>
    </row>
    <row r="47" spans="1:2" x14ac:dyDescent="0.2">
      <c r="A47" t="s">
        <v>2273</v>
      </c>
      <c r="B47" t="s">
        <v>2273</v>
      </c>
    </row>
    <row r="48" spans="1:2" x14ac:dyDescent="0.2">
      <c r="A48" t="s">
        <v>2274</v>
      </c>
      <c r="B48" t="s">
        <v>2274</v>
      </c>
    </row>
    <row r="49" spans="1:2" x14ac:dyDescent="0.2">
      <c r="A49" t="s">
        <v>2275</v>
      </c>
      <c r="B49" t="s">
        <v>2275</v>
      </c>
    </row>
    <row r="50" spans="1:2" x14ac:dyDescent="0.2">
      <c r="A50" t="s">
        <v>2276</v>
      </c>
      <c r="B50" t="s">
        <v>2276</v>
      </c>
    </row>
    <row r="51" spans="1:2" x14ac:dyDescent="0.2">
      <c r="A51" t="s">
        <v>2277</v>
      </c>
      <c r="B51" t="s">
        <v>2277</v>
      </c>
    </row>
    <row r="52" spans="1:2" x14ac:dyDescent="0.2">
      <c r="A52" t="s">
        <v>2278</v>
      </c>
      <c r="B52" t="s">
        <v>2278</v>
      </c>
    </row>
    <row r="53" spans="1:2" x14ac:dyDescent="0.2">
      <c r="A53" t="s">
        <v>2279</v>
      </c>
      <c r="B53" t="s">
        <v>2279</v>
      </c>
    </row>
    <row r="54" spans="1:2" x14ac:dyDescent="0.2">
      <c r="A54" t="s">
        <v>2280</v>
      </c>
      <c r="B54" t="s">
        <v>2280</v>
      </c>
    </row>
    <row r="55" spans="1:2" x14ac:dyDescent="0.2">
      <c r="A55" t="s">
        <v>2281</v>
      </c>
      <c r="B55" t="s">
        <v>2281</v>
      </c>
    </row>
    <row r="56" spans="1:2" x14ac:dyDescent="0.2">
      <c r="A56" t="s">
        <v>2282</v>
      </c>
      <c r="B56" t="s">
        <v>2282</v>
      </c>
    </row>
    <row r="57" spans="1:2" x14ac:dyDescent="0.2">
      <c r="A57" t="s">
        <v>2283</v>
      </c>
      <c r="B57" t="s">
        <v>2283</v>
      </c>
    </row>
    <row r="58" spans="1:2" x14ac:dyDescent="0.2">
      <c r="A58" t="s">
        <v>2284</v>
      </c>
      <c r="B58" t="s">
        <v>2284</v>
      </c>
    </row>
    <row r="59" spans="1:2" x14ac:dyDescent="0.2">
      <c r="A59" t="s">
        <v>2285</v>
      </c>
      <c r="B59" t="s">
        <v>2285</v>
      </c>
    </row>
    <row r="60" spans="1:2" x14ac:dyDescent="0.2">
      <c r="A60" t="s">
        <v>2286</v>
      </c>
      <c r="B60" t="s">
        <v>2286</v>
      </c>
    </row>
    <row r="61" spans="1:2" x14ac:dyDescent="0.2">
      <c r="A61" t="s">
        <v>2287</v>
      </c>
      <c r="B61" t="s">
        <v>2287</v>
      </c>
    </row>
    <row r="62" spans="1:2" x14ac:dyDescent="0.2">
      <c r="A62" t="s">
        <v>2288</v>
      </c>
      <c r="B62" t="s">
        <v>2288</v>
      </c>
    </row>
    <row r="63" spans="1:2" x14ac:dyDescent="0.2">
      <c r="A63" t="s">
        <v>2289</v>
      </c>
      <c r="B63" t="s">
        <v>2289</v>
      </c>
    </row>
    <row r="64" spans="1:2" x14ac:dyDescent="0.2">
      <c r="A64" t="s">
        <v>2290</v>
      </c>
      <c r="B64" t="s">
        <v>2290</v>
      </c>
    </row>
    <row r="65" spans="1:2" x14ac:dyDescent="0.2">
      <c r="A65" t="s">
        <v>2291</v>
      </c>
      <c r="B65" t="s">
        <v>2291</v>
      </c>
    </row>
    <row r="66" spans="1:2" x14ac:dyDescent="0.2">
      <c r="A66" t="s">
        <v>2292</v>
      </c>
      <c r="B66" t="s">
        <v>2292</v>
      </c>
    </row>
    <row r="67" spans="1:2" x14ac:dyDescent="0.2">
      <c r="A67" t="s">
        <v>2293</v>
      </c>
      <c r="B67" t="s">
        <v>2293</v>
      </c>
    </row>
    <row r="68" spans="1:2" x14ac:dyDescent="0.2">
      <c r="A68" t="s">
        <v>2294</v>
      </c>
      <c r="B68" t="s">
        <v>2294</v>
      </c>
    </row>
    <row r="69" spans="1:2" x14ac:dyDescent="0.2">
      <c r="A69" t="s">
        <v>2295</v>
      </c>
      <c r="B69" t="s">
        <v>2295</v>
      </c>
    </row>
    <row r="70" spans="1:2" x14ac:dyDescent="0.2">
      <c r="A70" t="s">
        <v>2296</v>
      </c>
      <c r="B70" t="s">
        <v>2296</v>
      </c>
    </row>
    <row r="71" spans="1:2" x14ac:dyDescent="0.2">
      <c r="A71" t="s">
        <v>2297</v>
      </c>
      <c r="B71" t="s">
        <v>2297</v>
      </c>
    </row>
    <row r="72" spans="1:2" x14ac:dyDescent="0.2">
      <c r="A72" t="s">
        <v>2298</v>
      </c>
      <c r="B72" t="s">
        <v>2298</v>
      </c>
    </row>
    <row r="73" spans="1:2" x14ac:dyDescent="0.2">
      <c r="A73" t="s">
        <v>2299</v>
      </c>
      <c r="B73" t="s">
        <v>2299</v>
      </c>
    </row>
    <row r="74" spans="1:2" x14ac:dyDescent="0.2">
      <c r="A74" t="s">
        <v>2300</v>
      </c>
      <c r="B74" t="s">
        <v>2300</v>
      </c>
    </row>
    <row r="75" spans="1:2" x14ac:dyDescent="0.2">
      <c r="A75" t="s">
        <v>2301</v>
      </c>
      <c r="B75" t="s">
        <v>2301</v>
      </c>
    </row>
    <row r="76" spans="1:2" x14ac:dyDescent="0.2">
      <c r="A76" s="26" t="s">
        <v>2302</v>
      </c>
      <c r="B76" s="26" t="s">
        <v>2302</v>
      </c>
    </row>
    <row r="77" spans="1:2" x14ac:dyDescent="0.2">
      <c r="A77" t="s">
        <v>2303</v>
      </c>
      <c r="B77" t="s">
        <v>2303</v>
      </c>
    </row>
    <row r="78" spans="1:2" x14ac:dyDescent="0.2">
      <c r="A78" t="s">
        <v>2304</v>
      </c>
      <c r="B78" t="s">
        <v>2304</v>
      </c>
    </row>
    <row r="79" spans="1:2" x14ac:dyDescent="0.2">
      <c r="A79" t="s">
        <v>2305</v>
      </c>
      <c r="B79" t="s">
        <v>2305</v>
      </c>
    </row>
    <row r="80" spans="1:2" x14ac:dyDescent="0.2">
      <c r="A80" t="s">
        <v>2306</v>
      </c>
      <c r="B80" t="s">
        <v>2306</v>
      </c>
    </row>
    <row r="81" spans="1:2" x14ac:dyDescent="0.2">
      <c r="A81" t="s">
        <v>2307</v>
      </c>
      <c r="B81" t="s">
        <v>2307</v>
      </c>
    </row>
    <row r="82" spans="1:2" x14ac:dyDescent="0.2">
      <c r="A82" t="s">
        <v>2308</v>
      </c>
      <c r="B82" t="s">
        <v>2308</v>
      </c>
    </row>
    <row r="83" spans="1:2" x14ac:dyDescent="0.2">
      <c r="A83" t="s">
        <v>2309</v>
      </c>
      <c r="B83" t="s">
        <v>2309</v>
      </c>
    </row>
    <row r="84" spans="1:2" x14ac:dyDescent="0.2">
      <c r="A84" t="s">
        <v>2310</v>
      </c>
      <c r="B84" t="s">
        <v>2310</v>
      </c>
    </row>
    <row r="85" spans="1:2" x14ac:dyDescent="0.2">
      <c r="A85" t="s">
        <v>2311</v>
      </c>
      <c r="B85" t="s">
        <v>2311</v>
      </c>
    </row>
    <row r="86" spans="1:2" x14ac:dyDescent="0.2">
      <c r="A86" t="s">
        <v>2312</v>
      </c>
      <c r="B86" t="s">
        <v>2312</v>
      </c>
    </row>
    <row r="87" spans="1:2" x14ac:dyDescent="0.2">
      <c r="A87" t="s">
        <v>2313</v>
      </c>
      <c r="B87" t="s">
        <v>2313</v>
      </c>
    </row>
    <row r="88" spans="1:2" x14ac:dyDescent="0.2">
      <c r="A88" t="s">
        <v>2314</v>
      </c>
      <c r="B88" t="s">
        <v>2314</v>
      </c>
    </row>
    <row r="89" spans="1:2" x14ac:dyDescent="0.2">
      <c r="A89" t="s">
        <v>2315</v>
      </c>
      <c r="B89" t="s">
        <v>2315</v>
      </c>
    </row>
    <row r="90" spans="1:2" x14ac:dyDescent="0.2">
      <c r="A90" t="s">
        <v>2316</v>
      </c>
      <c r="B90" t="s">
        <v>2316</v>
      </c>
    </row>
    <row r="91" spans="1:2" x14ac:dyDescent="0.2">
      <c r="A91" t="s">
        <v>2317</v>
      </c>
      <c r="B91" t="s">
        <v>2317</v>
      </c>
    </row>
    <row r="92" spans="1:2" x14ac:dyDescent="0.2">
      <c r="A92" t="s">
        <v>2318</v>
      </c>
      <c r="B92" t="s">
        <v>2318</v>
      </c>
    </row>
    <row r="93" spans="1:2" x14ac:dyDescent="0.2">
      <c r="A93" t="s">
        <v>2319</v>
      </c>
      <c r="B93" t="s">
        <v>2319</v>
      </c>
    </row>
    <row r="94" spans="1:2" x14ac:dyDescent="0.2">
      <c r="A94" t="s">
        <v>2320</v>
      </c>
      <c r="B94" t="s">
        <v>2320</v>
      </c>
    </row>
    <row r="95" spans="1:2" x14ac:dyDescent="0.2">
      <c r="A95" t="s">
        <v>2321</v>
      </c>
      <c r="B95" t="s">
        <v>2321</v>
      </c>
    </row>
    <row r="96" spans="1:2" x14ac:dyDescent="0.2">
      <c r="A96" t="s">
        <v>2322</v>
      </c>
      <c r="B96" t="s">
        <v>2322</v>
      </c>
    </row>
    <row r="97" spans="1:2" x14ac:dyDescent="0.2">
      <c r="A97" t="s">
        <v>2323</v>
      </c>
      <c r="B97" t="s">
        <v>2323</v>
      </c>
    </row>
    <row r="98" spans="1:2" x14ac:dyDescent="0.2">
      <c r="A98" t="s">
        <v>2324</v>
      </c>
      <c r="B98" t="s">
        <v>2324</v>
      </c>
    </row>
    <row r="99" spans="1:2" x14ac:dyDescent="0.2">
      <c r="A99" t="s">
        <v>2325</v>
      </c>
      <c r="B99" t="s">
        <v>2325</v>
      </c>
    </row>
    <row r="100" spans="1:2" x14ac:dyDescent="0.2">
      <c r="A100" t="s">
        <v>2326</v>
      </c>
      <c r="B100" t="s">
        <v>2326</v>
      </c>
    </row>
    <row r="101" spans="1:2" x14ac:dyDescent="0.2">
      <c r="A101" t="s">
        <v>2327</v>
      </c>
      <c r="B101" t="s">
        <v>2327</v>
      </c>
    </row>
    <row r="102" spans="1:2" x14ac:dyDescent="0.2">
      <c r="A102" t="s">
        <v>2328</v>
      </c>
      <c r="B102" t="s">
        <v>2328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>
      <selection activeCell="D10" sqref="D10"/>
    </sheetView>
  </sheetViews>
  <sheetFormatPr baseColWidth="10" defaultRowHeight="15" x14ac:dyDescent="0.2"/>
  <cols>
    <col min="1" max="1" width="12.1640625" customWidth="1"/>
    <col min="2" max="2" width="44.83203125" bestFit="1" customWidth="1"/>
  </cols>
  <sheetData>
    <row r="1" spans="1:2" x14ac:dyDescent="0.2">
      <c r="A1" s="17" t="s">
        <v>1484</v>
      </c>
      <c r="B1" s="17" t="s">
        <v>1987</v>
      </c>
    </row>
    <row r="2" spans="1:2" ht="16" customHeight="1" x14ac:dyDescent="0.2">
      <c r="A2" s="12" t="s">
        <v>2329</v>
      </c>
      <c r="B2" s="13" t="s">
        <v>2330</v>
      </c>
    </row>
    <row r="3" spans="1:2" ht="16" customHeight="1" x14ac:dyDescent="0.2">
      <c r="A3" s="12" t="s">
        <v>2331</v>
      </c>
      <c r="B3" s="13" t="s">
        <v>2332</v>
      </c>
    </row>
    <row r="4" spans="1:2" ht="16" customHeight="1" x14ac:dyDescent="0.2">
      <c r="A4" s="12" t="s">
        <v>2333</v>
      </c>
      <c r="B4" s="13" t="s">
        <v>2334</v>
      </c>
    </row>
    <row r="5" spans="1:2" ht="16" customHeight="1" x14ac:dyDescent="0.2">
      <c r="A5" s="12" t="s">
        <v>2335</v>
      </c>
      <c r="B5" s="13" t="s">
        <v>2336</v>
      </c>
    </row>
    <row r="6" spans="1:2" ht="16" customHeight="1" x14ac:dyDescent="0.2">
      <c r="A6" s="12" t="s">
        <v>2337</v>
      </c>
      <c r="B6" s="13" t="s">
        <v>2338</v>
      </c>
    </row>
    <row r="7" spans="1:2" ht="16" customHeight="1" x14ac:dyDescent="0.2">
      <c r="A7" s="12" t="s">
        <v>2339</v>
      </c>
      <c r="B7" s="13" t="s">
        <v>2340</v>
      </c>
    </row>
    <row r="8" spans="1:2" ht="16" customHeight="1" x14ac:dyDescent="0.2">
      <c r="A8" s="12" t="s">
        <v>2341</v>
      </c>
      <c r="B8" s="13" t="s">
        <v>2342</v>
      </c>
    </row>
    <row r="9" spans="1:2" ht="16" customHeight="1" x14ac:dyDescent="0.2">
      <c r="A9" s="12" t="s">
        <v>2343</v>
      </c>
      <c r="B9" s="13" t="s">
        <v>2344</v>
      </c>
    </row>
    <row r="10" spans="1:2" ht="16" customHeight="1" x14ac:dyDescent="0.2">
      <c r="A10" s="12" t="s">
        <v>2345</v>
      </c>
      <c r="B10" s="13" t="s">
        <v>2346</v>
      </c>
    </row>
    <row r="11" spans="1:2" ht="16" customHeight="1" x14ac:dyDescent="0.2">
      <c r="A11" s="12" t="s">
        <v>2347</v>
      </c>
      <c r="B11" s="13" t="s">
        <v>2348</v>
      </c>
    </row>
    <row r="12" spans="1:2" ht="16" customHeight="1" x14ac:dyDescent="0.2">
      <c r="A12" s="12" t="s">
        <v>2349</v>
      </c>
      <c r="B12" s="13" t="s">
        <v>2350</v>
      </c>
    </row>
    <row r="13" spans="1:2" ht="16" customHeight="1" x14ac:dyDescent="0.2">
      <c r="A13" s="12" t="s">
        <v>2351</v>
      </c>
      <c r="B13" s="13" t="s">
        <v>2352</v>
      </c>
    </row>
    <row r="14" spans="1:2" ht="16" customHeight="1" x14ac:dyDescent="0.2">
      <c r="A14" s="12" t="s">
        <v>2353</v>
      </c>
      <c r="B14" s="13" t="s">
        <v>2354</v>
      </c>
    </row>
    <row r="15" spans="1:2" ht="16" customHeight="1" x14ac:dyDescent="0.2">
      <c r="A15" s="12" t="s">
        <v>2355</v>
      </c>
      <c r="B15" s="13" t="s">
        <v>2356</v>
      </c>
    </row>
    <row r="16" spans="1:2" ht="16" customHeight="1" x14ac:dyDescent="0.2">
      <c r="A16" s="12" t="s">
        <v>2357</v>
      </c>
      <c r="B16" s="13" t="s">
        <v>2358</v>
      </c>
    </row>
    <row r="17" spans="1:2" x14ac:dyDescent="0.2">
      <c r="A17" s="14" t="s">
        <v>2359</v>
      </c>
      <c r="B17" s="13" t="s">
        <v>2360</v>
      </c>
    </row>
    <row r="18" spans="1:2" ht="16" customHeight="1" x14ac:dyDescent="0.2">
      <c r="A18" s="12" t="s">
        <v>2361</v>
      </c>
      <c r="B18" s="13" t="s">
        <v>2362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workbookViewId="0"/>
  </sheetViews>
  <sheetFormatPr baseColWidth="10" defaultColWidth="11.5" defaultRowHeight="15" x14ac:dyDescent="0.2"/>
  <cols>
    <col min="2" max="2" width="24.1640625" bestFit="1" customWidth="1"/>
    <col min="3" max="3" width="29" customWidth="1"/>
  </cols>
  <sheetData>
    <row r="1" spans="1:7" x14ac:dyDescent="0.2">
      <c r="A1" s="17" t="s">
        <v>1484</v>
      </c>
      <c r="B1" s="17" t="s">
        <v>1987</v>
      </c>
      <c r="C1" s="17" t="s">
        <v>1485</v>
      </c>
      <c r="D1" s="10"/>
      <c r="E1" s="10"/>
      <c r="F1" s="10"/>
      <c r="G1" s="10"/>
    </row>
    <row r="2" spans="1:7" x14ac:dyDescent="0.2">
      <c r="A2" s="10">
        <v>0</v>
      </c>
      <c r="B2" s="10" t="s">
        <v>1988</v>
      </c>
      <c r="C2" s="10"/>
      <c r="D2" s="10"/>
      <c r="E2" s="10"/>
      <c r="F2" s="10"/>
      <c r="G2" s="10"/>
    </row>
    <row r="3" spans="1:7" x14ac:dyDescent="0.2">
      <c r="A3" s="10">
        <v>1</v>
      </c>
      <c r="B3" s="10" t="s">
        <v>2363</v>
      </c>
      <c r="C3" s="10" t="str">
        <f t="shared" ref="C3:C8" si="0">CONCATENATE("""",B3,"""")</f>
        <v>"Ankündigung Insolvenz"</v>
      </c>
      <c r="D3" s="10"/>
      <c r="E3" s="10"/>
      <c r="F3" s="10"/>
      <c r="G3" s="10"/>
    </row>
    <row r="4" spans="1:7" x14ac:dyDescent="0.2">
      <c r="A4" s="10">
        <v>2</v>
      </c>
      <c r="B4" s="10" t="s">
        <v>2364</v>
      </c>
      <c r="C4" s="10" t="str">
        <f t="shared" si="0"/>
        <v>"Aufhebung Insolvenz"</v>
      </c>
      <c r="D4" s="10"/>
      <c r="E4" s="10"/>
      <c r="F4" s="10"/>
      <c r="G4" s="10"/>
    </row>
    <row r="5" spans="1:7" x14ac:dyDescent="0.2">
      <c r="A5" s="10">
        <v>3</v>
      </c>
      <c r="B5" s="10" t="s">
        <v>2365</v>
      </c>
      <c r="C5" s="10" t="str">
        <f t="shared" si="0"/>
        <v>"Beendigung Insolvenz"</v>
      </c>
      <c r="D5" s="10"/>
      <c r="E5" s="10"/>
      <c r="F5" s="10"/>
      <c r="G5" s="10"/>
    </row>
    <row r="6" spans="1:7" x14ac:dyDescent="0.2">
      <c r="A6" s="10">
        <v>4</v>
      </c>
      <c r="B6" s="10" t="s">
        <v>2366</v>
      </c>
      <c r="C6" s="10" t="str">
        <f t="shared" si="0"/>
        <v>"Insolvenz"</v>
      </c>
      <c r="D6" s="10"/>
      <c r="E6" s="10"/>
      <c r="F6" s="10"/>
      <c r="G6" s="10"/>
    </row>
    <row r="7" spans="1:7" x14ac:dyDescent="0.2">
      <c r="A7" s="10">
        <v>5</v>
      </c>
      <c r="B7" s="10" t="s">
        <v>2367</v>
      </c>
      <c r="C7" s="10" t="str">
        <f t="shared" si="0"/>
        <v>"Insolvenzverfahren eröffnet"</v>
      </c>
      <c r="D7" s="10"/>
      <c r="E7" s="10"/>
      <c r="F7" s="10"/>
      <c r="G7" s="10"/>
    </row>
    <row r="8" spans="1:7" x14ac:dyDescent="0.2">
      <c r="A8" s="10">
        <v>6</v>
      </c>
      <c r="B8" s="10" t="s">
        <v>2368</v>
      </c>
      <c r="C8" s="10" t="str">
        <f t="shared" si="0"/>
        <v>"Firma in Eigenverwaltung"</v>
      </c>
      <c r="D8" s="10"/>
      <c r="E8" s="10"/>
      <c r="F8" s="10"/>
      <c r="G8" s="10"/>
    </row>
    <row r="9" spans="1:7" x14ac:dyDescent="0.2">
      <c r="A9" s="10"/>
      <c r="B9" s="10"/>
      <c r="C9" s="10"/>
      <c r="D9" s="10"/>
      <c r="E9" s="10"/>
      <c r="F9" s="10"/>
      <c r="G9" s="10"/>
    </row>
    <row r="10" spans="1:7" x14ac:dyDescent="0.2">
      <c r="A10" s="10"/>
      <c r="B10" s="10"/>
      <c r="C10" s="10"/>
      <c r="D10" s="10"/>
      <c r="E10" s="10"/>
      <c r="F10" s="10"/>
      <c r="G10" s="10"/>
    </row>
    <row r="11" spans="1:7" x14ac:dyDescent="0.2">
      <c r="A11" s="10"/>
      <c r="B11" s="10"/>
      <c r="C11" s="10"/>
      <c r="D11" s="10"/>
      <c r="E11" s="10"/>
      <c r="F11" s="10"/>
      <c r="G11" s="10"/>
    </row>
    <row r="12" spans="1:7" x14ac:dyDescent="0.2">
      <c r="A12" s="10"/>
      <c r="B12" s="10"/>
      <c r="C12" s="10"/>
      <c r="D12" s="10"/>
      <c r="E12" s="10"/>
      <c r="F12" s="10"/>
      <c r="G12" s="10"/>
    </row>
    <row r="13" spans="1:7" x14ac:dyDescent="0.2">
      <c r="A13" s="10"/>
      <c r="B13" s="10"/>
      <c r="C13" s="10"/>
      <c r="D13" s="10"/>
      <c r="E13" s="10"/>
      <c r="F13" s="10"/>
      <c r="G13" s="10"/>
    </row>
    <row r="14" spans="1:7" x14ac:dyDescent="0.2">
      <c r="A14" s="10"/>
      <c r="B14" s="10"/>
      <c r="C14" s="10"/>
      <c r="D14" s="10"/>
      <c r="E14" s="10"/>
      <c r="F14" s="10"/>
      <c r="G14" s="10"/>
    </row>
    <row r="15" spans="1:7" x14ac:dyDescent="0.2">
      <c r="A15" s="10"/>
      <c r="B15" s="10"/>
      <c r="C15" s="10"/>
      <c r="D15" s="10"/>
      <c r="E15" s="10"/>
      <c r="F15" s="10"/>
      <c r="G15" s="10"/>
    </row>
    <row r="16" spans="1:7" x14ac:dyDescent="0.2">
      <c r="A16" s="10"/>
      <c r="B16" s="10"/>
      <c r="C16" s="10"/>
      <c r="D16" s="10"/>
      <c r="E16" s="10"/>
      <c r="F16" s="10"/>
      <c r="G16" s="10"/>
    </row>
    <row r="17" spans="1:7" x14ac:dyDescent="0.2">
      <c r="A17" s="10"/>
      <c r="B17" s="10"/>
      <c r="C17" s="10"/>
      <c r="D17" s="10"/>
      <c r="E17" s="10"/>
      <c r="F17" s="10"/>
      <c r="G17" s="10"/>
    </row>
    <row r="18" spans="1:7" x14ac:dyDescent="0.2">
      <c r="A18" s="10"/>
      <c r="B18" s="10"/>
      <c r="C18" s="10"/>
      <c r="D18" s="10"/>
      <c r="E18" s="10"/>
      <c r="F18" s="10"/>
      <c r="G18" s="10"/>
    </row>
    <row r="19" spans="1:7" x14ac:dyDescent="0.2">
      <c r="A19" s="10"/>
      <c r="B19" s="10"/>
      <c r="C19" s="10"/>
      <c r="D19" s="10"/>
      <c r="E19" s="10"/>
      <c r="F19" s="10"/>
      <c r="G19" s="10"/>
    </row>
    <row r="20" spans="1:7" x14ac:dyDescent="0.2">
      <c r="A20" s="10"/>
      <c r="B20" s="10"/>
      <c r="C20" s="10"/>
      <c r="D20" s="10"/>
      <c r="E20" s="10"/>
      <c r="F20" s="10"/>
      <c r="G20" s="10"/>
    </row>
    <row r="21" spans="1:7" x14ac:dyDescent="0.2">
      <c r="A21" s="10"/>
      <c r="B21" s="10"/>
      <c r="C21" s="10"/>
      <c r="D21" s="10"/>
      <c r="E21" s="10"/>
      <c r="F21" s="10"/>
      <c r="G21" s="10"/>
    </row>
    <row r="22" spans="1:7" x14ac:dyDescent="0.2">
      <c r="A22" s="10"/>
      <c r="B22" s="10"/>
      <c r="C22" s="10"/>
      <c r="D22" s="10"/>
      <c r="E22" s="10"/>
      <c r="F22" s="10"/>
      <c r="G22" s="10"/>
    </row>
    <row r="23" spans="1:7" x14ac:dyDescent="0.2">
      <c r="A23" s="10"/>
      <c r="B23" s="10"/>
      <c r="C23" s="10"/>
      <c r="D23" s="10"/>
      <c r="E23" s="10"/>
      <c r="F23" s="10"/>
      <c r="G23" s="10"/>
    </row>
    <row r="24" spans="1:7" x14ac:dyDescent="0.2">
      <c r="A24" s="10"/>
      <c r="B24" s="10"/>
      <c r="C24" s="10"/>
      <c r="D24" s="10"/>
      <c r="E24" s="10"/>
      <c r="F24" s="10"/>
      <c r="G24" s="10"/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/>
  </sheetViews>
  <sheetFormatPr baseColWidth="10" defaultColWidth="11.5" defaultRowHeight="15" x14ac:dyDescent="0.2"/>
  <cols>
    <col min="2" max="2" width="21.5" customWidth="1"/>
  </cols>
  <sheetData>
    <row r="1" spans="1:3" x14ac:dyDescent="0.2">
      <c r="A1" s="1" t="s">
        <v>1484</v>
      </c>
      <c r="B1" s="7"/>
      <c r="C1" s="2" t="s">
        <v>1485</v>
      </c>
    </row>
    <row r="2" spans="1:3" x14ac:dyDescent="0.2">
      <c r="A2" s="3">
        <v>0</v>
      </c>
      <c r="B2" s="8" t="s">
        <v>1988</v>
      </c>
      <c r="C2" s="5"/>
    </row>
    <row r="3" spans="1:3" x14ac:dyDescent="0.2">
      <c r="A3" s="4">
        <v>1</v>
      </c>
      <c r="B3" s="9" t="s">
        <v>2369</v>
      </c>
      <c r="C3" s="6" t="s">
        <v>784</v>
      </c>
    </row>
    <row r="4" spans="1:3" x14ac:dyDescent="0.2">
      <c r="A4" s="3">
        <v>2</v>
      </c>
      <c r="B4" s="8" t="s">
        <v>2370</v>
      </c>
      <c r="C4" s="5" t="s">
        <v>31</v>
      </c>
    </row>
    <row r="5" spans="1:3" x14ac:dyDescent="0.2">
      <c r="A5" s="4">
        <v>3</v>
      </c>
      <c r="B5" s="9" t="s">
        <v>2371</v>
      </c>
      <c r="C5" s="6" t="s">
        <v>784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>
      <selection activeCell="C4" sqref="A1:C4"/>
    </sheetView>
  </sheetViews>
  <sheetFormatPr baseColWidth="10" defaultColWidth="11.5" defaultRowHeight="15" x14ac:dyDescent="0.2"/>
  <cols>
    <col min="2" max="2" width="13.1640625" bestFit="1" customWidth="1"/>
    <col min="3" max="3" width="9.5" bestFit="1" customWidth="1"/>
  </cols>
  <sheetData>
    <row r="1" spans="1:3" x14ac:dyDescent="0.2">
      <c r="A1" s="17" t="s">
        <v>1484</v>
      </c>
      <c r="B1" s="17" t="s">
        <v>1987</v>
      </c>
      <c r="C1" s="17" t="s">
        <v>1485</v>
      </c>
    </row>
    <row r="2" spans="1:3" x14ac:dyDescent="0.2">
      <c r="A2" s="10">
        <v>0</v>
      </c>
      <c r="B2" s="10" t="s">
        <v>1988</v>
      </c>
      <c r="C2" s="10"/>
    </row>
    <row r="3" spans="1:3" x14ac:dyDescent="0.2">
      <c r="A3" s="10">
        <v>1</v>
      </c>
      <c r="B3" s="10" t="s">
        <v>2370</v>
      </c>
      <c r="C3" s="10" t="s">
        <v>31</v>
      </c>
    </row>
    <row r="4" spans="1:3" x14ac:dyDescent="0.2">
      <c r="A4" s="10">
        <v>2</v>
      </c>
      <c r="B4" s="10" t="s">
        <v>2372</v>
      </c>
      <c r="C4" s="10" t="s">
        <v>784</v>
      </c>
    </row>
    <row r="5" spans="1:3" x14ac:dyDescent="0.2">
      <c r="A5" s="10"/>
      <c r="B5" s="10"/>
      <c r="C5" s="10"/>
    </row>
    <row r="6" spans="1:3" x14ac:dyDescent="0.2">
      <c r="A6" s="10"/>
      <c r="B6" s="10"/>
      <c r="C6" s="10"/>
    </row>
    <row r="7" spans="1:3" x14ac:dyDescent="0.2">
      <c r="A7" s="10"/>
      <c r="B7" s="10"/>
      <c r="C7" s="10"/>
    </row>
    <row r="8" spans="1:3" x14ac:dyDescent="0.2">
      <c r="A8" s="10"/>
      <c r="B8" s="10"/>
      <c r="C8" s="10"/>
    </row>
    <row r="9" spans="1:3" x14ac:dyDescent="0.2">
      <c r="A9" s="10"/>
      <c r="B9" s="10"/>
      <c r="C9" s="10"/>
    </row>
    <row r="10" spans="1:3" x14ac:dyDescent="0.2">
      <c r="A10" s="10"/>
      <c r="B10" s="10"/>
      <c r="C10" s="10"/>
    </row>
    <row r="11" spans="1:3" x14ac:dyDescent="0.2">
      <c r="A11" s="10"/>
      <c r="B11" s="10"/>
      <c r="C11" s="10"/>
    </row>
    <row r="12" spans="1:3" x14ac:dyDescent="0.2">
      <c r="A12" s="10"/>
      <c r="B12" s="10"/>
      <c r="C12" s="10"/>
    </row>
    <row r="13" spans="1:3" x14ac:dyDescent="0.2">
      <c r="A13" s="10"/>
      <c r="B13" s="10"/>
      <c r="C13" s="10"/>
    </row>
    <row r="14" spans="1:3" x14ac:dyDescent="0.2">
      <c r="A14" s="10"/>
      <c r="B14" s="10"/>
      <c r="C14" s="10"/>
    </row>
    <row r="15" spans="1:3" x14ac:dyDescent="0.2">
      <c r="A15" s="10"/>
      <c r="B15" s="10"/>
      <c r="C15" s="10"/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/>
  </sheetViews>
  <sheetFormatPr baseColWidth="10" defaultColWidth="11.5" defaultRowHeight="15" x14ac:dyDescent="0.2"/>
  <cols>
    <col min="2" max="2" width="12.83203125" customWidth="1"/>
  </cols>
  <sheetData>
    <row r="1" spans="1:8" x14ac:dyDescent="0.2">
      <c r="A1" s="17" t="s">
        <v>1484</v>
      </c>
      <c r="B1" s="17" t="s">
        <v>1987</v>
      </c>
      <c r="C1" s="17" t="s">
        <v>1485</v>
      </c>
      <c r="D1" s="10"/>
      <c r="E1" s="10"/>
      <c r="F1" s="10"/>
      <c r="G1" s="10"/>
      <c r="H1" s="10"/>
    </row>
    <row r="2" spans="1:8" x14ac:dyDescent="0.2">
      <c r="A2" s="10">
        <v>0</v>
      </c>
      <c r="B2" s="10" t="s">
        <v>1988</v>
      </c>
      <c r="C2" s="10"/>
      <c r="D2" s="10"/>
      <c r="E2" s="10"/>
      <c r="F2" s="10"/>
      <c r="G2" s="10"/>
      <c r="H2" s="10"/>
    </row>
    <row r="3" spans="1:8" x14ac:dyDescent="0.2">
      <c r="A3" s="10">
        <v>1</v>
      </c>
      <c r="B3" s="10" t="s">
        <v>2370</v>
      </c>
      <c r="C3" s="10" t="s">
        <v>31</v>
      </c>
      <c r="D3" s="10"/>
      <c r="E3" s="10"/>
      <c r="F3" s="10"/>
      <c r="G3" s="10"/>
      <c r="H3" s="10"/>
    </row>
    <row r="4" spans="1:8" x14ac:dyDescent="0.2">
      <c r="A4" s="10">
        <v>2</v>
      </c>
      <c r="B4" s="10" t="s">
        <v>2372</v>
      </c>
      <c r="C4" s="10" t="s">
        <v>784</v>
      </c>
      <c r="D4" s="10"/>
      <c r="E4" s="10"/>
      <c r="F4" s="10"/>
      <c r="G4" s="10"/>
      <c r="H4" s="10"/>
    </row>
    <row r="5" spans="1:8" x14ac:dyDescent="0.2">
      <c r="A5" s="10"/>
      <c r="B5" s="10"/>
      <c r="C5" s="10"/>
      <c r="D5" s="10"/>
      <c r="E5" s="10"/>
      <c r="F5" s="10"/>
      <c r="G5" s="10"/>
      <c r="H5" s="10"/>
    </row>
    <row r="6" spans="1:8" x14ac:dyDescent="0.2">
      <c r="A6" s="10"/>
      <c r="B6" s="10"/>
      <c r="C6" s="10"/>
      <c r="D6" s="10"/>
      <c r="E6" s="10"/>
      <c r="F6" s="10"/>
      <c r="G6" s="10"/>
      <c r="H6" s="10"/>
    </row>
    <row r="7" spans="1:8" x14ac:dyDescent="0.2">
      <c r="A7" s="10"/>
      <c r="B7" s="10"/>
      <c r="C7" s="10"/>
      <c r="D7" s="10"/>
      <c r="E7" s="10"/>
      <c r="F7" s="10"/>
      <c r="G7" s="10"/>
      <c r="H7" s="10"/>
    </row>
    <row r="8" spans="1:8" x14ac:dyDescent="0.2">
      <c r="A8" s="10"/>
      <c r="B8" s="10"/>
      <c r="C8" s="10"/>
      <c r="D8" s="10"/>
      <c r="E8" s="10"/>
      <c r="F8" s="10"/>
      <c r="G8" s="10"/>
      <c r="H8" s="10"/>
    </row>
    <row r="9" spans="1:8" x14ac:dyDescent="0.2">
      <c r="A9" s="10"/>
      <c r="B9" s="10"/>
      <c r="C9" s="10"/>
      <c r="D9" s="10"/>
      <c r="E9" s="10"/>
      <c r="F9" s="10"/>
      <c r="G9" s="10"/>
      <c r="H9" s="10"/>
    </row>
    <row r="10" spans="1:8" x14ac:dyDescent="0.2">
      <c r="A10" s="10"/>
      <c r="B10" s="10"/>
      <c r="C10" s="10"/>
      <c r="D10" s="10"/>
      <c r="E10" s="10"/>
      <c r="F10" s="10"/>
      <c r="G10" s="10"/>
      <c r="H10" s="10"/>
    </row>
    <row r="11" spans="1:8" x14ac:dyDescent="0.2">
      <c r="A11" s="10"/>
      <c r="B11" s="10"/>
      <c r="C11" s="10"/>
      <c r="D11" s="10"/>
      <c r="E11" s="10"/>
      <c r="F11" s="10"/>
      <c r="G11" s="10"/>
      <c r="H11" s="10"/>
    </row>
    <row r="12" spans="1:8" x14ac:dyDescent="0.2">
      <c r="A12" s="10"/>
      <c r="B12" s="10"/>
      <c r="C12" s="10"/>
      <c r="D12" s="10"/>
      <c r="E12" s="10"/>
      <c r="F12" s="10"/>
      <c r="G12" s="10"/>
      <c r="H12" s="10"/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/>
  </sheetViews>
  <sheetFormatPr baseColWidth="10" defaultRowHeight="15" x14ac:dyDescent="0.2"/>
  <cols>
    <col min="1" max="1" width="17.5" customWidth="1"/>
    <col min="2" max="2" width="26.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t="s">
        <v>2373</v>
      </c>
      <c r="B2" t="s">
        <v>2373</v>
      </c>
    </row>
    <row r="3" spans="1:2" x14ac:dyDescent="0.2">
      <c r="A3" t="s">
        <v>2374</v>
      </c>
      <c r="B3" t="s">
        <v>2374</v>
      </c>
    </row>
    <row r="4" spans="1:2" x14ac:dyDescent="0.2">
      <c r="A4" t="s">
        <v>2375</v>
      </c>
      <c r="B4" t="s">
        <v>2375</v>
      </c>
    </row>
    <row r="5" spans="1:2" x14ac:dyDescent="0.2">
      <c r="A5" t="s">
        <v>2376</v>
      </c>
      <c r="B5" t="s">
        <v>2376</v>
      </c>
    </row>
    <row r="6" spans="1:2" x14ac:dyDescent="0.2">
      <c r="A6" t="s">
        <v>2377</v>
      </c>
      <c r="B6" t="s">
        <v>2377</v>
      </c>
    </row>
    <row r="7" spans="1:2" x14ac:dyDescent="0.2">
      <c r="A7" t="s">
        <v>2378</v>
      </c>
      <c r="B7" t="s">
        <v>2378</v>
      </c>
    </row>
    <row r="8" spans="1:2" x14ac:dyDescent="0.2">
      <c r="A8" t="s">
        <v>2379</v>
      </c>
      <c r="B8" t="s">
        <v>2379</v>
      </c>
    </row>
    <row r="9" spans="1:2" x14ac:dyDescent="0.2">
      <c r="A9" t="s">
        <v>2380</v>
      </c>
      <c r="B9" t="s">
        <v>2380</v>
      </c>
    </row>
    <row r="10" spans="1:2" x14ac:dyDescent="0.2">
      <c r="A10" t="s">
        <v>2381</v>
      </c>
      <c r="B10" t="s">
        <v>2381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/>
  </sheetViews>
  <sheetFormatPr baseColWidth="10" defaultColWidth="11.5" defaultRowHeight="15" x14ac:dyDescent="0.2"/>
  <cols>
    <col min="2" max="2" width="19.83203125" bestFit="1" customWidth="1"/>
    <col min="3" max="3" width="21.5" bestFit="1" customWidth="1"/>
  </cols>
  <sheetData>
    <row r="1" spans="1:4" x14ac:dyDescent="0.2">
      <c r="A1" s="17" t="s">
        <v>1484</v>
      </c>
      <c r="B1" s="17" t="s">
        <v>1987</v>
      </c>
      <c r="C1" s="17" t="s">
        <v>1485</v>
      </c>
      <c r="D1" s="10"/>
    </row>
    <row r="2" spans="1:4" x14ac:dyDescent="0.2">
      <c r="A2" s="10">
        <v>0</v>
      </c>
      <c r="B2" s="10" t="s">
        <v>1988</v>
      </c>
      <c r="C2" s="10"/>
      <c r="D2" s="10"/>
    </row>
    <row r="3" spans="1:4" x14ac:dyDescent="0.2">
      <c r="A3" s="10">
        <v>1</v>
      </c>
      <c r="B3" s="10" t="s">
        <v>2382</v>
      </c>
      <c r="C3" s="10" t="str">
        <f>CONCATENATE("""",B3,"""")</f>
        <v>"In Liquidation"</v>
      </c>
      <c r="D3" s="10"/>
    </row>
    <row r="4" spans="1:4" x14ac:dyDescent="0.2">
      <c r="A4" s="10">
        <v>2</v>
      </c>
      <c r="B4" s="10" t="s">
        <v>2383</v>
      </c>
      <c r="C4" s="10" t="str">
        <f>CONCATENATE("""",B4,"""")</f>
        <v>"Aufhebung Liquidation"</v>
      </c>
      <c r="D4" s="10"/>
    </row>
    <row r="5" spans="1:4" x14ac:dyDescent="0.2">
      <c r="A5" s="10"/>
      <c r="B5" s="10"/>
      <c r="C5" s="10"/>
      <c r="D5" s="10"/>
    </row>
    <row r="6" spans="1:4" x14ac:dyDescent="0.2">
      <c r="A6" s="10"/>
      <c r="B6" s="10"/>
      <c r="C6" s="10"/>
      <c r="D6" s="10"/>
    </row>
    <row r="7" spans="1:4" x14ac:dyDescent="0.2">
      <c r="A7" s="10"/>
      <c r="B7" s="10"/>
      <c r="C7" s="10"/>
      <c r="D7" s="10"/>
    </row>
    <row r="8" spans="1:4" x14ac:dyDescent="0.2">
      <c r="A8" s="10"/>
      <c r="B8" s="10"/>
      <c r="C8" s="10"/>
      <c r="D8" s="10"/>
    </row>
    <row r="9" spans="1:4" x14ac:dyDescent="0.2">
      <c r="A9" s="10"/>
      <c r="B9" s="10"/>
      <c r="C9" s="10"/>
      <c r="D9" s="10"/>
    </row>
    <row r="10" spans="1:4" x14ac:dyDescent="0.2">
      <c r="A10" s="10"/>
      <c r="B10" s="10"/>
      <c r="C10" s="10"/>
      <c r="D10" s="10"/>
    </row>
    <row r="11" spans="1:4" x14ac:dyDescent="0.2">
      <c r="A11" s="10"/>
      <c r="B11" s="10"/>
      <c r="C11" s="10"/>
      <c r="D11" s="10"/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97"/>
  <sheetViews>
    <sheetView topLeftCell="A53" workbookViewId="0"/>
  </sheetViews>
  <sheetFormatPr baseColWidth="10" defaultRowHeight="15" x14ac:dyDescent="0.2"/>
  <cols>
    <col min="1" max="1" width="11.1640625" customWidth="1"/>
    <col min="2" max="2" width="23.83203125" customWidth="1"/>
    <col min="3" max="3" width="115.1640625" bestFit="1" customWidth="1"/>
  </cols>
  <sheetData>
    <row r="1" spans="1:3" x14ac:dyDescent="0.2">
      <c r="A1" s="18" t="s">
        <v>1484</v>
      </c>
      <c r="B1" s="18" t="s">
        <v>2384</v>
      </c>
      <c r="C1" s="18" t="s">
        <v>1485</v>
      </c>
    </row>
    <row r="2" spans="1:3" x14ac:dyDescent="0.2">
      <c r="A2" s="19" t="s">
        <v>2385</v>
      </c>
      <c r="B2" s="19" t="s">
        <v>2385</v>
      </c>
      <c r="C2" s="15" t="s">
        <v>2386</v>
      </c>
    </row>
    <row r="3" spans="1:3" x14ac:dyDescent="0.2">
      <c r="A3" s="19" t="s">
        <v>2387</v>
      </c>
      <c r="B3" s="19" t="s">
        <v>2387</v>
      </c>
      <c r="C3" s="15" t="s">
        <v>2388</v>
      </c>
    </row>
    <row r="4" spans="1:3" x14ac:dyDescent="0.2">
      <c r="A4" s="19" t="s">
        <v>2389</v>
      </c>
      <c r="B4" s="19" t="s">
        <v>2389</v>
      </c>
      <c r="C4" s="15" t="s">
        <v>2390</v>
      </c>
    </row>
    <row r="5" spans="1:3" x14ac:dyDescent="0.2">
      <c r="A5" s="19" t="s">
        <v>2391</v>
      </c>
      <c r="B5" s="19" t="s">
        <v>2392</v>
      </c>
      <c r="C5" s="15" t="s">
        <v>2393</v>
      </c>
    </row>
    <row r="6" spans="1:3" x14ac:dyDescent="0.2">
      <c r="A6" s="19" t="s">
        <v>2394</v>
      </c>
      <c r="B6" s="19" t="s">
        <v>2395</v>
      </c>
      <c r="C6" s="15" t="s">
        <v>2396</v>
      </c>
    </row>
    <row r="7" spans="1:3" x14ac:dyDescent="0.2">
      <c r="A7" s="19" t="s">
        <v>2397</v>
      </c>
      <c r="B7" s="19" t="s">
        <v>2398</v>
      </c>
      <c r="C7" s="15" t="s">
        <v>2399</v>
      </c>
    </row>
    <row r="8" spans="1:3" x14ac:dyDescent="0.2">
      <c r="A8" s="19" t="s">
        <v>2400</v>
      </c>
      <c r="B8" s="19" t="s">
        <v>2401</v>
      </c>
      <c r="C8" s="15" t="s">
        <v>2402</v>
      </c>
    </row>
    <row r="9" spans="1:3" x14ac:dyDescent="0.2">
      <c r="A9" s="19" t="s">
        <v>2403</v>
      </c>
      <c r="B9" s="19" t="s">
        <v>2404</v>
      </c>
      <c r="C9" s="15" t="s">
        <v>2405</v>
      </c>
    </row>
    <row r="10" spans="1:3" x14ac:dyDescent="0.2">
      <c r="A10" s="19" t="s">
        <v>2406</v>
      </c>
      <c r="B10" s="19" t="s">
        <v>2407</v>
      </c>
      <c r="C10" s="15" t="s">
        <v>2408</v>
      </c>
    </row>
    <row r="11" spans="1:3" x14ac:dyDescent="0.2">
      <c r="A11" s="19" t="s">
        <v>2409</v>
      </c>
      <c r="B11" s="19" t="s">
        <v>2410</v>
      </c>
      <c r="C11" s="15" t="s">
        <v>2411</v>
      </c>
    </row>
    <row r="12" spans="1:3" x14ac:dyDescent="0.2">
      <c r="A12" s="19" t="s">
        <v>2412</v>
      </c>
      <c r="B12" s="19" t="s">
        <v>2412</v>
      </c>
      <c r="C12" s="15" t="s">
        <v>2413</v>
      </c>
    </row>
    <row r="13" spans="1:3" x14ac:dyDescent="0.2">
      <c r="A13" s="19" t="s">
        <v>2414</v>
      </c>
      <c r="B13" s="19" t="s">
        <v>2415</v>
      </c>
      <c r="C13" s="15" t="s">
        <v>2416</v>
      </c>
    </row>
    <row r="14" spans="1:3" x14ac:dyDescent="0.2">
      <c r="A14" s="19" t="s">
        <v>2417</v>
      </c>
      <c r="B14" s="19" t="s">
        <v>2418</v>
      </c>
      <c r="C14" s="15" t="s">
        <v>2419</v>
      </c>
    </row>
    <row r="15" spans="1:3" x14ac:dyDescent="0.2">
      <c r="A15" s="19" t="s">
        <v>2420</v>
      </c>
      <c r="B15" s="19" t="s">
        <v>2421</v>
      </c>
      <c r="C15" s="15" t="s">
        <v>2422</v>
      </c>
    </row>
    <row r="16" spans="1:3" x14ac:dyDescent="0.2">
      <c r="A16" s="19" t="s">
        <v>2423</v>
      </c>
      <c r="B16" s="19" t="s">
        <v>2424</v>
      </c>
      <c r="C16" s="15" t="s">
        <v>2425</v>
      </c>
    </row>
    <row r="17" spans="1:3" x14ac:dyDescent="0.2">
      <c r="A17" s="19" t="s">
        <v>2426</v>
      </c>
      <c r="B17" s="19" t="s">
        <v>2427</v>
      </c>
      <c r="C17" s="15" t="s">
        <v>2428</v>
      </c>
    </row>
    <row r="18" spans="1:3" x14ac:dyDescent="0.2">
      <c r="A18" s="19" t="s">
        <v>2429</v>
      </c>
      <c r="B18" s="19" t="s">
        <v>2430</v>
      </c>
      <c r="C18" s="15" t="s">
        <v>2431</v>
      </c>
    </row>
    <row r="19" spans="1:3" x14ac:dyDescent="0.2">
      <c r="A19" s="19" t="s">
        <v>2432</v>
      </c>
      <c r="B19" s="19" t="s">
        <v>2433</v>
      </c>
      <c r="C19" s="15" t="s">
        <v>2434</v>
      </c>
    </row>
    <row r="20" spans="1:3" x14ac:dyDescent="0.2">
      <c r="A20" s="19" t="s">
        <v>2435</v>
      </c>
      <c r="B20" s="19" t="s">
        <v>2436</v>
      </c>
      <c r="C20" s="15" t="s">
        <v>2437</v>
      </c>
    </row>
    <row r="21" spans="1:3" x14ac:dyDescent="0.2">
      <c r="A21" s="19" t="s">
        <v>2438</v>
      </c>
      <c r="B21" s="19" t="s">
        <v>2439</v>
      </c>
      <c r="C21" s="15" t="s">
        <v>2440</v>
      </c>
    </row>
    <row r="22" spans="1:3" x14ac:dyDescent="0.2">
      <c r="A22" s="19" t="s">
        <v>2441</v>
      </c>
      <c r="B22" s="19" t="s">
        <v>2441</v>
      </c>
      <c r="C22" s="15" t="s">
        <v>2442</v>
      </c>
    </row>
    <row r="23" spans="1:3" x14ac:dyDescent="0.2">
      <c r="A23" s="19" t="s">
        <v>2443</v>
      </c>
      <c r="B23" s="19" t="s">
        <v>2444</v>
      </c>
      <c r="C23" s="15" t="s">
        <v>2442</v>
      </c>
    </row>
    <row r="24" spans="1:3" x14ac:dyDescent="0.2">
      <c r="A24" s="19" t="s">
        <v>2445</v>
      </c>
      <c r="B24" s="19" t="s">
        <v>2445</v>
      </c>
      <c r="C24" s="15" t="s">
        <v>2446</v>
      </c>
    </row>
    <row r="25" spans="1:3" x14ac:dyDescent="0.2">
      <c r="A25" s="19" t="s">
        <v>2447</v>
      </c>
      <c r="B25" s="19" t="s">
        <v>2448</v>
      </c>
      <c r="C25" s="15" t="s">
        <v>2449</v>
      </c>
    </row>
    <row r="26" spans="1:3" x14ac:dyDescent="0.2">
      <c r="A26" s="19" t="s">
        <v>2450</v>
      </c>
      <c r="B26" s="19" t="s">
        <v>2451</v>
      </c>
      <c r="C26" s="15" t="s">
        <v>2452</v>
      </c>
    </row>
    <row r="27" spans="1:3" x14ac:dyDescent="0.2">
      <c r="A27" s="19" t="s">
        <v>2453</v>
      </c>
      <c r="B27" s="19" t="s">
        <v>2454</v>
      </c>
      <c r="C27" s="15" t="s">
        <v>2455</v>
      </c>
    </row>
    <row r="28" spans="1:3" x14ac:dyDescent="0.2">
      <c r="A28" s="19" t="s">
        <v>2456</v>
      </c>
      <c r="B28" s="19" t="s">
        <v>2457</v>
      </c>
      <c r="C28" s="15" t="s">
        <v>2458</v>
      </c>
    </row>
    <row r="29" spans="1:3" x14ac:dyDescent="0.2">
      <c r="A29" s="19" t="s">
        <v>2459</v>
      </c>
      <c r="B29" s="19" t="s">
        <v>2460</v>
      </c>
      <c r="C29" s="15" t="s">
        <v>2461</v>
      </c>
    </row>
    <row r="30" spans="1:3" x14ac:dyDescent="0.2">
      <c r="A30" s="19" t="s">
        <v>2462</v>
      </c>
      <c r="B30" s="19" t="s">
        <v>2463</v>
      </c>
      <c r="C30" s="15" t="s">
        <v>2464</v>
      </c>
    </row>
    <row r="31" spans="1:3" x14ac:dyDescent="0.2">
      <c r="A31" s="19" t="s">
        <v>2465</v>
      </c>
      <c r="B31" s="19" t="s">
        <v>2466</v>
      </c>
      <c r="C31" s="15" t="s">
        <v>2467</v>
      </c>
    </row>
    <row r="32" spans="1:3" x14ac:dyDescent="0.2">
      <c r="A32" s="19" t="s">
        <v>2468</v>
      </c>
      <c r="B32" s="19" t="s">
        <v>2469</v>
      </c>
      <c r="C32" s="15" t="s">
        <v>2470</v>
      </c>
    </row>
    <row r="33" spans="1:3" x14ac:dyDescent="0.2">
      <c r="A33" s="19" t="s">
        <v>2471</v>
      </c>
      <c r="B33" s="19" t="s">
        <v>2471</v>
      </c>
      <c r="C33" s="15" t="s">
        <v>2472</v>
      </c>
    </row>
    <row r="34" spans="1:3" x14ac:dyDescent="0.2">
      <c r="A34" s="19" t="s">
        <v>2473</v>
      </c>
      <c r="B34" s="19" t="s">
        <v>2474</v>
      </c>
      <c r="C34" s="15" t="s">
        <v>2472</v>
      </c>
    </row>
    <row r="35" spans="1:3" x14ac:dyDescent="0.2">
      <c r="A35" s="19" t="s">
        <v>2475</v>
      </c>
      <c r="B35" s="19" t="s">
        <v>2475</v>
      </c>
      <c r="C35" s="15" t="s">
        <v>2476</v>
      </c>
    </row>
    <row r="36" spans="1:3" x14ac:dyDescent="0.2">
      <c r="A36" s="19" t="s">
        <v>2477</v>
      </c>
      <c r="B36" s="19" t="s">
        <v>2478</v>
      </c>
      <c r="C36" s="15" t="s">
        <v>2479</v>
      </c>
    </row>
    <row r="37" spans="1:3" x14ac:dyDescent="0.2">
      <c r="A37" s="19" t="s">
        <v>2480</v>
      </c>
      <c r="B37" s="19" t="s">
        <v>2481</v>
      </c>
      <c r="C37" s="15" t="s">
        <v>2482</v>
      </c>
    </row>
    <row r="38" spans="1:3" x14ac:dyDescent="0.2">
      <c r="A38" s="19" t="s">
        <v>2483</v>
      </c>
      <c r="B38" s="19" t="s">
        <v>2484</v>
      </c>
      <c r="C38" s="15" t="s">
        <v>2485</v>
      </c>
    </row>
    <row r="39" spans="1:3" x14ac:dyDescent="0.2">
      <c r="A39" s="19" t="s">
        <v>2486</v>
      </c>
      <c r="B39" s="19" t="s">
        <v>2487</v>
      </c>
      <c r="C39" s="15" t="s">
        <v>2488</v>
      </c>
    </row>
    <row r="40" spans="1:3" x14ac:dyDescent="0.2">
      <c r="A40" s="19" t="s">
        <v>2489</v>
      </c>
      <c r="B40" s="19" t="s">
        <v>2489</v>
      </c>
      <c r="C40" s="15" t="s">
        <v>2490</v>
      </c>
    </row>
    <row r="41" spans="1:3" x14ac:dyDescent="0.2">
      <c r="A41" s="19" t="s">
        <v>2491</v>
      </c>
      <c r="B41" s="19" t="s">
        <v>2492</v>
      </c>
      <c r="C41" s="15" t="s">
        <v>2490</v>
      </c>
    </row>
    <row r="42" spans="1:3" x14ac:dyDescent="0.2">
      <c r="A42" s="19" t="s">
        <v>2493</v>
      </c>
      <c r="B42" s="19" t="s">
        <v>2493</v>
      </c>
      <c r="C42" s="15" t="s">
        <v>2494</v>
      </c>
    </row>
    <row r="43" spans="1:3" x14ac:dyDescent="0.2">
      <c r="A43" s="19" t="s">
        <v>2495</v>
      </c>
      <c r="B43" s="19" t="s">
        <v>2495</v>
      </c>
      <c r="C43" s="15" t="s">
        <v>2496</v>
      </c>
    </row>
    <row r="44" spans="1:3" x14ac:dyDescent="0.2">
      <c r="A44" s="19" t="s">
        <v>2497</v>
      </c>
      <c r="B44" s="19" t="s">
        <v>2498</v>
      </c>
      <c r="C44" s="15" t="s">
        <v>2496</v>
      </c>
    </row>
    <row r="45" spans="1:3" x14ac:dyDescent="0.2">
      <c r="A45" s="19" t="s">
        <v>2499</v>
      </c>
      <c r="B45" s="19" t="s">
        <v>2499</v>
      </c>
      <c r="C45" s="15" t="s">
        <v>2500</v>
      </c>
    </row>
    <row r="46" spans="1:3" x14ac:dyDescent="0.2">
      <c r="A46" s="19" t="s">
        <v>2501</v>
      </c>
      <c r="B46" s="19" t="s">
        <v>2502</v>
      </c>
      <c r="C46" s="15" t="s">
        <v>2500</v>
      </c>
    </row>
    <row r="47" spans="1:3" x14ac:dyDescent="0.2">
      <c r="A47" s="19" t="s">
        <v>2503</v>
      </c>
      <c r="B47" s="19" t="s">
        <v>2503</v>
      </c>
      <c r="C47" s="15" t="s">
        <v>2504</v>
      </c>
    </row>
    <row r="48" spans="1:3" x14ac:dyDescent="0.2">
      <c r="A48" s="19" t="s">
        <v>2505</v>
      </c>
      <c r="B48" s="19" t="s">
        <v>2506</v>
      </c>
      <c r="C48" s="15" t="s">
        <v>2504</v>
      </c>
    </row>
    <row r="49" spans="1:3" x14ac:dyDescent="0.2">
      <c r="A49" s="19" t="s">
        <v>2507</v>
      </c>
      <c r="B49" s="19" t="s">
        <v>2507</v>
      </c>
      <c r="C49" s="15" t="s">
        <v>2508</v>
      </c>
    </row>
    <row r="50" spans="1:3" x14ac:dyDescent="0.2">
      <c r="A50" s="19" t="s">
        <v>2509</v>
      </c>
      <c r="B50" s="19" t="s">
        <v>2510</v>
      </c>
      <c r="C50" s="15" t="s">
        <v>2508</v>
      </c>
    </row>
    <row r="51" spans="1:3" x14ac:dyDescent="0.2">
      <c r="A51" s="19" t="s">
        <v>2511</v>
      </c>
      <c r="B51" s="19" t="s">
        <v>2511</v>
      </c>
      <c r="C51" s="15" t="s">
        <v>2512</v>
      </c>
    </row>
    <row r="52" spans="1:3" x14ac:dyDescent="0.2">
      <c r="A52" s="19" t="s">
        <v>2513</v>
      </c>
      <c r="B52" s="19" t="s">
        <v>2513</v>
      </c>
      <c r="C52" s="15" t="s">
        <v>2514</v>
      </c>
    </row>
    <row r="53" spans="1:3" x14ac:dyDescent="0.2">
      <c r="A53" s="19" t="s">
        <v>2515</v>
      </c>
      <c r="B53" s="19" t="s">
        <v>2516</v>
      </c>
      <c r="C53" s="15" t="s">
        <v>2517</v>
      </c>
    </row>
    <row r="54" spans="1:3" x14ac:dyDescent="0.2">
      <c r="A54" s="19" t="s">
        <v>2518</v>
      </c>
      <c r="B54" s="19" t="s">
        <v>2519</v>
      </c>
      <c r="C54" s="15" t="s">
        <v>2520</v>
      </c>
    </row>
    <row r="55" spans="1:3" x14ac:dyDescent="0.2">
      <c r="A55" s="19" t="s">
        <v>2521</v>
      </c>
      <c r="B55" s="19" t="s">
        <v>2521</v>
      </c>
      <c r="C55" s="15" t="s">
        <v>2522</v>
      </c>
    </row>
    <row r="56" spans="1:3" x14ac:dyDescent="0.2">
      <c r="A56" s="19" t="s">
        <v>2523</v>
      </c>
      <c r="B56" s="19" t="s">
        <v>2524</v>
      </c>
      <c r="C56" s="15" t="s">
        <v>2525</v>
      </c>
    </row>
    <row r="57" spans="1:3" x14ac:dyDescent="0.2">
      <c r="A57" s="19" t="s">
        <v>2526</v>
      </c>
      <c r="B57" s="19" t="s">
        <v>2527</v>
      </c>
      <c r="C57" s="15" t="s">
        <v>2528</v>
      </c>
    </row>
    <row r="58" spans="1:3" x14ac:dyDescent="0.2">
      <c r="A58" s="19" t="s">
        <v>2529</v>
      </c>
      <c r="B58" s="19" t="s">
        <v>2529</v>
      </c>
      <c r="C58" s="15" t="s">
        <v>2530</v>
      </c>
    </row>
    <row r="59" spans="1:3" x14ac:dyDescent="0.2">
      <c r="A59" s="19" t="s">
        <v>2531</v>
      </c>
      <c r="B59" s="19" t="s">
        <v>2531</v>
      </c>
      <c r="C59" s="15" t="s">
        <v>2532</v>
      </c>
    </row>
    <row r="60" spans="1:3" x14ac:dyDescent="0.2">
      <c r="A60" s="19" t="s">
        <v>2533</v>
      </c>
      <c r="B60" s="19" t="s">
        <v>2533</v>
      </c>
      <c r="C60" s="15" t="s">
        <v>2534</v>
      </c>
    </row>
    <row r="61" spans="1:3" x14ac:dyDescent="0.2">
      <c r="A61" s="19" t="s">
        <v>2535</v>
      </c>
      <c r="B61" s="19" t="s">
        <v>2536</v>
      </c>
      <c r="C61" s="15" t="s">
        <v>2534</v>
      </c>
    </row>
    <row r="62" spans="1:3" x14ac:dyDescent="0.2">
      <c r="A62" s="19" t="s">
        <v>2537</v>
      </c>
      <c r="B62" s="19" t="s">
        <v>2537</v>
      </c>
      <c r="C62" s="15" t="s">
        <v>2538</v>
      </c>
    </row>
    <row r="63" spans="1:3" x14ac:dyDescent="0.2">
      <c r="A63" s="19" t="s">
        <v>2539</v>
      </c>
      <c r="B63" s="19" t="s">
        <v>2540</v>
      </c>
      <c r="C63" s="15" t="s">
        <v>2538</v>
      </c>
    </row>
    <row r="64" spans="1:3" x14ac:dyDescent="0.2">
      <c r="A64" s="19" t="s">
        <v>2541</v>
      </c>
      <c r="B64" s="19" t="s">
        <v>2541</v>
      </c>
      <c r="C64" s="15" t="s">
        <v>2542</v>
      </c>
    </row>
    <row r="65" spans="1:3" x14ac:dyDescent="0.2">
      <c r="A65" s="19" t="s">
        <v>2543</v>
      </c>
      <c r="B65" s="19" t="s">
        <v>2543</v>
      </c>
      <c r="C65" s="15" t="s">
        <v>2544</v>
      </c>
    </row>
    <row r="66" spans="1:3" x14ac:dyDescent="0.2">
      <c r="A66" s="19" t="s">
        <v>2545</v>
      </c>
      <c r="B66" s="19" t="s">
        <v>2546</v>
      </c>
      <c r="C66" s="15" t="s">
        <v>2544</v>
      </c>
    </row>
    <row r="67" spans="1:3" x14ac:dyDescent="0.2">
      <c r="A67" s="19" t="s">
        <v>2547</v>
      </c>
      <c r="B67" s="19" t="s">
        <v>2547</v>
      </c>
      <c r="C67" s="15" t="s">
        <v>2548</v>
      </c>
    </row>
    <row r="68" spans="1:3" x14ac:dyDescent="0.2">
      <c r="A68" s="19" t="s">
        <v>2549</v>
      </c>
      <c r="B68" s="19" t="s">
        <v>2550</v>
      </c>
      <c r="C68" s="15" t="s">
        <v>2548</v>
      </c>
    </row>
    <row r="69" spans="1:3" x14ac:dyDescent="0.2">
      <c r="A69" s="19" t="s">
        <v>2551</v>
      </c>
      <c r="B69" s="19" t="s">
        <v>2551</v>
      </c>
      <c r="C69" s="15" t="s">
        <v>2552</v>
      </c>
    </row>
    <row r="70" spans="1:3" x14ac:dyDescent="0.2">
      <c r="A70" s="19" t="s">
        <v>2553</v>
      </c>
      <c r="B70" s="19" t="s">
        <v>2553</v>
      </c>
      <c r="C70" s="15" t="s">
        <v>2554</v>
      </c>
    </row>
    <row r="71" spans="1:3" x14ac:dyDescent="0.2">
      <c r="A71" s="19" t="s">
        <v>2555</v>
      </c>
      <c r="B71" s="19" t="s">
        <v>2556</v>
      </c>
      <c r="C71" s="15" t="s">
        <v>2554</v>
      </c>
    </row>
    <row r="72" spans="1:3" x14ac:dyDescent="0.2">
      <c r="A72" s="19" t="s">
        <v>2557</v>
      </c>
      <c r="B72" s="19" t="s">
        <v>2557</v>
      </c>
      <c r="C72" s="15" t="s">
        <v>2558</v>
      </c>
    </row>
    <row r="73" spans="1:3" x14ac:dyDescent="0.2">
      <c r="A73" s="19" t="s">
        <v>2559</v>
      </c>
      <c r="B73" s="19" t="s">
        <v>2560</v>
      </c>
      <c r="C73" s="15" t="s">
        <v>2561</v>
      </c>
    </row>
    <row r="74" spans="1:3" x14ac:dyDescent="0.2">
      <c r="A74" s="19" t="s">
        <v>2562</v>
      </c>
      <c r="B74" s="19" t="s">
        <v>2563</v>
      </c>
      <c r="C74" s="15" t="s">
        <v>2564</v>
      </c>
    </row>
    <row r="75" spans="1:3" x14ac:dyDescent="0.2">
      <c r="A75" s="19" t="s">
        <v>2565</v>
      </c>
      <c r="B75" s="19" t="s">
        <v>2565</v>
      </c>
      <c r="C75" s="15" t="s">
        <v>2566</v>
      </c>
    </row>
    <row r="76" spans="1:3" x14ac:dyDescent="0.2">
      <c r="A76" s="19" t="s">
        <v>2567</v>
      </c>
      <c r="B76" s="19" t="s">
        <v>2567</v>
      </c>
      <c r="C76" s="15" t="s">
        <v>2568</v>
      </c>
    </row>
    <row r="77" spans="1:3" x14ac:dyDescent="0.2">
      <c r="A77" s="19" t="s">
        <v>2569</v>
      </c>
      <c r="B77" s="19" t="s">
        <v>2570</v>
      </c>
      <c r="C77" s="15" t="s">
        <v>2571</v>
      </c>
    </row>
    <row r="78" spans="1:3" x14ac:dyDescent="0.2">
      <c r="A78" s="19" t="s">
        <v>2572</v>
      </c>
      <c r="B78" s="19" t="s">
        <v>2573</v>
      </c>
      <c r="C78" s="15" t="s">
        <v>2574</v>
      </c>
    </row>
    <row r="79" spans="1:3" x14ac:dyDescent="0.2">
      <c r="A79" s="19" t="s">
        <v>2575</v>
      </c>
      <c r="B79" s="19" t="s">
        <v>2575</v>
      </c>
      <c r="C79" s="15" t="s">
        <v>2576</v>
      </c>
    </row>
    <row r="80" spans="1:3" x14ac:dyDescent="0.2">
      <c r="A80" s="19" t="s">
        <v>2577</v>
      </c>
      <c r="B80" s="19" t="s">
        <v>2578</v>
      </c>
      <c r="C80" s="15" t="s">
        <v>2579</v>
      </c>
    </row>
    <row r="81" spans="1:3" x14ac:dyDescent="0.2">
      <c r="A81" s="19" t="s">
        <v>2580</v>
      </c>
      <c r="B81" s="19" t="s">
        <v>2581</v>
      </c>
      <c r="C81" s="15" t="s">
        <v>2582</v>
      </c>
    </row>
    <row r="82" spans="1:3" x14ac:dyDescent="0.2">
      <c r="A82" s="19" t="s">
        <v>2583</v>
      </c>
      <c r="B82" s="19" t="s">
        <v>2584</v>
      </c>
      <c r="C82" s="15" t="s">
        <v>2585</v>
      </c>
    </row>
    <row r="83" spans="1:3" x14ac:dyDescent="0.2">
      <c r="A83" s="19" t="s">
        <v>2586</v>
      </c>
      <c r="B83" s="19" t="s">
        <v>2587</v>
      </c>
      <c r="C83" s="15" t="s">
        <v>2588</v>
      </c>
    </row>
    <row r="84" spans="1:3" x14ac:dyDescent="0.2">
      <c r="A84" s="19" t="s">
        <v>2589</v>
      </c>
      <c r="B84" s="19" t="s">
        <v>2589</v>
      </c>
      <c r="C84" s="15" t="s">
        <v>2590</v>
      </c>
    </row>
    <row r="85" spans="1:3" x14ac:dyDescent="0.2">
      <c r="A85" s="19" t="s">
        <v>2591</v>
      </c>
      <c r="B85" s="19" t="s">
        <v>2591</v>
      </c>
      <c r="C85" s="15" t="s">
        <v>2592</v>
      </c>
    </row>
    <row r="86" spans="1:3" x14ac:dyDescent="0.2">
      <c r="A86" s="19" t="s">
        <v>2593</v>
      </c>
      <c r="B86" s="19" t="s">
        <v>2594</v>
      </c>
      <c r="C86" s="15" t="s">
        <v>2592</v>
      </c>
    </row>
    <row r="87" spans="1:3" x14ac:dyDescent="0.2">
      <c r="A87" s="19" t="s">
        <v>2595</v>
      </c>
      <c r="B87" s="19" t="s">
        <v>2595</v>
      </c>
      <c r="C87" s="15" t="s">
        <v>2596</v>
      </c>
    </row>
    <row r="88" spans="1:3" x14ac:dyDescent="0.2">
      <c r="A88" s="19" t="s">
        <v>2597</v>
      </c>
      <c r="B88" s="19" t="s">
        <v>2598</v>
      </c>
      <c r="C88" s="15" t="s">
        <v>2596</v>
      </c>
    </row>
    <row r="89" spans="1:3" x14ac:dyDescent="0.2">
      <c r="A89" s="19" t="s">
        <v>2599</v>
      </c>
      <c r="B89" s="19" t="s">
        <v>2599</v>
      </c>
      <c r="C89" s="15" t="s">
        <v>2600</v>
      </c>
    </row>
    <row r="90" spans="1:3" x14ac:dyDescent="0.2">
      <c r="A90" s="19" t="s">
        <v>2601</v>
      </c>
      <c r="B90" s="19" t="s">
        <v>2601</v>
      </c>
      <c r="C90" s="15" t="s">
        <v>2602</v>
      </c>
    </row>
    <row r="91" spans="1:3" x14ac:dyDescent="0.2">
      <c r="A91" s="19" t="s">
        <v>2603</v>
      </c>
      <c r="B91" s="19" t="s">
        <v>2603</v>
      </c>
      <c r="C91" s="15" t="s">
        <v>2604</v>
      </c>
    </row>
    <row r="92" spans="1:3" x14ac:dyDescent="0.2">
      <c r="A92" s="19" t="s">
        <v>2605</v>
      </c>
      <c r="B92" s="19" t="s">
        <v>2606</v>
      </c>
      <c r="C92" s="15" t="s">
        <v>2607</v>
      </c>
    </row>
    <row r="93" spans="1:3" x14ac:dyDescent="0.2">
      <c r="A93" s="19" t="s">
        <v>2608</v>
      </c>
      <c r="B93" s="19" t="s">
        <v>2609</v>
      </c>
      <c r="C93" s="15" t="s">
        <v>2610</v>
      </c>
    </row>
    <row r="94" spans="1:3" x14ac:dyDescent="0.2">
      <c r="A94" s="19" t="s">
        <v>2611</v>
      </c>
      <c r="B94" s="19" t="s">
        <v>2612</v>
      </c>
      <c r="C94" s="15" t="s">
        <v>2613</v>
      </c>
    </row>
    <row r="95" spans="1:3" x14ac:dyDescent="0.2">
      <c r="A95" s="19" t="s">
        <v>2614</v>
      </c>
      <c r="B95" s="19" t="s">
        <v>2614</v>
      </c>
      <c r="C95" s="15" t="s">
        <v>2615</v>
      </c>
    </row>
    <row r="96" spans="1:3" x14ac:dyDescent="0.2">
      <c r="A96" s="19" t="s">
        <v>2616</v>
      </c>
      <c r="B96" s="19" t="s">
        <v>2617</v>
      </c>
      <c r="C96" s="15" t="s">
        <v>2615</v>
      </c>
    </row>
    <row r="97" spans="1:3" x14ac:dyDescent="0.2">
      <c r="A97" s="19" t="s">
        <v>2618</v>
      </c>
      <c r="B97" s="19" t="s">
        <v>2618</v>
      </c>
      <c r="C97" s="15" t="s">
        <v>2619</v>
      </c>
    </row>
    <row r="98" spans="1:3" x14ac:dyDescent="0.2">
      <c r="A98" s="19" t="s">
        <v>2620</v>
      </c>
      <c r="B98" s="19" t="s">
        <v>2621</v>
      </c>
      <c r="C98" s="15" t="s">
        <v>2622</v>
      </c>
    </row>
    <row r="99" spans="1:3" x14ac:dyDescent="0.2">
      <c r="A99" s="19" t="s">
        <v>2623</v>
      </c>
      <c r="B99" s="19" t="s">
        <v>2624</v>
      </c>
      <c r="C99" s="15" t="s">
        <v>2625</v>
      </c>
    </row>
    <row r="100" spans="1:3" x14ac:dyDescent="0.2">
      <c r="A100" s="19" t="s">
        <v>2626</v>
      </c>
      <c r="B100" s="19" t="s">
        <v>2627</v>
      </c>
      <c r="C100" s="15" t="s">
        <v>2628</v>
      </c>
    </row>
    <row r="101" spans="1:3" x14ac:dyDescent="0.2">
      <c r="A101" s="19" t="s">
        <v>2629</v>
      </c>
      <c r="B101" s="19" t="s">
        <v>2629</v>
      </c>
      <c r="C101" s="15" t="s">
        <v>2630</v>
      </c>
    </row>
    <row r="102" spans="1:3" x14ac:dyDescent="0.2">
      <c r="A102" s="19" t="s">
        <v>2631</v>
      </c>
      <c r="B102" s="19" t="s">
        <v>2632</v>
      </c>
      <c r="C102" s="15" t="s">
        <v>2633</v>
      </c>
    </row>
    <row r="103" spans="1:3" x14ac:dyDescent="0.2">
      <c r="A103" s="19" t="s">
        <v>2634</v>
      </c>
      <c r="B103" s="19" t="s">
        <v>2635</v>
      </c>
      <c r="C103" s="15" t="s">
        <v>2636</v>
      </c>
    </row>
    <row r="104" spans="1:3" x14ac:dyDescent="0.2">
      <c r="A104" s="19" t="s">
        <v>2637</v>
      </c>
      <c r="B104" s="19" t="s">
        <v>2637</v>
      </c>
      <c r="C104" s="15" t="s">
        <v>2638</v>
      </c>
    </row>
    <row r="105" spans="1:3" x14ac:dyDescent="0.2">
      <c r="A105" s="19" t="s">
        <v>2639</v>
      </c>
      <c r="B105" s="19" t="s">
        <v>2640</v>
      </c>
      <c r="C105" s="15" t="s">
        <v>2641</v>
      </c>
    </row>
    <row r="106" spans="1:3" x14ac:dyDescent="0.2">
      <c r="A106" s="19" t="s">
        <v>2642</v>
      </c>
      <c r="B106" s="19" t="s">
        <v>2643</v>
      </c>
      <c r="C106" s="15" t="s">
        <v>2644</v>
      </c>
    </row>
    <row r="107" spans="1:3" x14ac:dyDescent="0.2">
      <c r="A107" s="19" t="s">
        <v>2645</v>
      </c>
      <c r="B107" s="19" t="s">
        <v>2645</v>
      </c>
      <c r="C107" s="15" t="s">
        <v>2646</v>
      </c>
    </row>
    <row r="108" spans="1:3" x14ac:dyDescent="0.2">
      <c r="A108" s="19" t="s">
        <v>2647</v>
      </c>
      <c r="B108" s="19" t="s">
        <v>2648</v>
      </c>
      <c r="C108" s="15" t="s">
        <v>2649</v>
      </c>
    </row>
    <row r="109" spans="1:3" x14ac:dyDescent="0.2">
      <c r="A109" s="19" t="s">
        <v>2650</v>
      </c>
      <c r="B109" s="19" t="s">
        <v>2651</v>
      </c>
      <c r="C109" s="15" t="s">
        <v>2652</v>
      </c>
    </row>
    <row r="110" spans="1:3" x14ac:dyDescent="0.2">
      <c r="A110" s="19" t="s">
        <v>2653</v>
      </c>
      <c r="B110" s="19" t="s">
        <v>2653</v>
      </c>
      <c r="C110" s="15" t="s">
        <v>2654</v>
      </c>
    </row>
    <row r="111" spans="1:3" x14ac:dyDescent="0.2">
      <c r="A111" s="19" t="s">
        <v>2655</v>
      </c>
      <c r="B111" s="19" t="s">
        <v>2656</v>
      </c>
      <c r="C111" s="15" t="s">
        <v>2657</v>
      </c>
    </row>
    <row r="112" spans="1:3" x14ac:dyDescent="0.2">
      <c r="A112" s="19" t="s">
        <v>2658</v>
      </c>
      <c r="B112" s="19" t="s">
        <v>2659</v>
      </c>
      <c r="C112" s="15" t="s">
        <v>2660</v>
      </c>
    </row>
    <row r="113" spans="1:3" x14ac:dyDescent="0.2">
      <c r="A113" s="19" t="s">
        <v>2661</v>
      </c>
      <c r="B113" s="19" t="s">
        <v>2662</v>
      </c>
      <c r="C113" s="15" t="s">
        <v>2663</v>
      </c>
    </row>
    <row r="114" spans="1:3" x14ac:dyDescent="0.2">
      <c r="A114" s="19" t="s">
        <v>2664</v>
      </c>
      <c r="B114" s="19" t="s">
        <v>2664</v>
      </c>
      <c r="C114" s="15" t="s">
        <v>2665</v>
      </c>
    </row>
    <row r="115" spans="1:3" x14ac:dyDescent="0.2">
      <c r="A115" s="19" t="s">
        <v>2666</v>
      </c>
      <c r="B115" s="19" t="s">
        <v>2667</v>
      </c>
      <c r="C115" s="15" t="s">
        <v>2668</v>
      </c>
    </row>
    <row r="116" spans="1:3" x14ac:dyDescent="0.2">
      <c r="A116" s="19" t="s">
        <v>2669</v>
      </c>
      <c r="B116" s="19" t="s">
        <v>2670</v>
      </c>
      <c r="C116" s="15" t="s">
        <v>2671</v>
      </c>
    </row>
    <row r="117" spans="1:3" x14ac:dyDescent="0.2">
      <c r="A117" s="19" t="s">
        <v>2672</v>
      </c>
      <c r="B117" s="19" t="s">
        <v>2673</v>
      </c>
      <c r="C117" s="15" t="s">
        <v>2674</v>
      </c>
    </row>
    <row r="118" spans="1:3" x14ac:dyDescent="0.2">
      <c r="A118" s="19" t="s">
        <v>2675</v>
      </c>
      <c r="B118" s="19" t="s">
        <v>2676</v>
      </c>
      <c r="C118" s="15" t="s">
        <v>2677</v>
      </c>
    </row>
    <row r="119" spans="1:3" x14ac:dyDescent="0.2">
      <c r="A119" s="19" t="s">
        <v>2678</v>
      </c>
      <c r="B119" s="19" t="s">
        <v>2679</v>
      </c>
      <c r="C119" s="15" t="s">
        <v>2680</v>
      </c>
    </row>
    <row r="120" spans="1:3" x14ac:dyDescent="0.2">
      <c r="A120" s="19" t="s">
        <v>2681</v>
      </c>
      <c r="B120" s="19" t="s">
        <v>2682</v>
      </c>
      <c r="C120" s="15" t="s">
        <v>2683</v>
      </c>
    </row>
    <row r="121" spans="1:3" x14ac:dyDescent="0.2">
      <c r="A121" s="19" t="s">
        <v>2684</v>
      </c>
      <c r="B121" s="19" t="s">
        <v>2685</v>
      </c>
      <c r="C121" s="15" t="s">
        <v>2686</v>
      </c>
    </row>
    <row r="122" spans="1:3" x14ac:dyDescent="0.2">
      <c r="A122" s="19" t="s">
        <v>2687</v>
      </c>
      <c r="B122" s="19" t="s">
        <v>2687</v>
      </c>
      <c r="C122" s="15" t="s">
        <v>2688</v>
      </c>
    </row>
    <row r="123" spans="1:3" x14ac:dyDescent="0.2">
      <c r="A123" s="19" t="s">
        <v>2689</v>
      </c>
      <c r="B123" s="19" t="s">
        <v>2690</v>
      </c>
      <c r="C123" s="15" t="s">
        <v>2691</v>
      </c>
    </row>
    <row r="124" spans="1:3" x14ac:dyDescent="0.2">
      <c r="A124" s="19" t="s">
        <v>2692</v>
      </c>
      <c r="B124" s="19" t="s">
        <v>2693</v>
      </c>
      <c r="C124" s="15" t="s">
        <v>2694</v>
      </c>
    </row>
    <row r="125" spans="1:3" x14ac:dyDescent="0.2">
      <c r="A125" s="19" t="s">
        <v>2695</v>
      </c>
      <c r="B125" s="19" t="s">
        <v>2695</v>
      </c>
      <c r="C125" s="15" t="s">
        <v>2696</v>
      </c>
    </row>
    <row r="126" spans="1:3" x14ac:dyDescent="0.2">
      <c r="A126" s="19" t="s">
        <v>2697</v>
      </c>
      <c r="B126" s="19" t="s">
        <v>2697</v>
      </c>
      <c r="C126" s="15" t="s">
        <v>2696</v>
      </c>
    </row>
    <row r="127" spans="1:3" x14ac:dyDescent="0.2">
      <c r="A127" s="19" t="s">
        <v>2698</v>
      </c>
      <c r="B127" s="19" t="s">
        <v>2699</v>
      </c>
      <c r="C127" s="15" t="s">
        <v>2700</v>
      </c>
    </row>
    <row r="128" spans="1:3" x14ac:dyDescent="0.2">
      <c r="A128" s="19" t="s">
        <v>2701</v>
      </c>
      <c r="B128" s="19" t="s">
        <v>2702</v>
      </c>
      <c r="C128" s="15" t="s">
        <v>2703</v>
      </c>
    </row>
    <row r="129" spans="1:3" x14ac:dyDescent="0.2">
      <c r="A129" s="19" t="s">
        <v>2704</v>
      </c>
      <c r="B129" s="19" t="s">
        <v>2705</v>
      </c>
      <c r="C129" s="15" t="s">
        <v>2706</v>
      </c>
    </row>
    <row r="130" spans="1:3" x14ac:dyDescent="0.2">
      <c r="A130" s="19" t="s">
        <v>2707</v>
      </c>
      <c r="B130" s="19" t="s">
        <v>2708</v>
      </c>
      <c r="C130" s="15" t="s">
        <v>2709</v>
      </c>
    </row>
    <row r="131" spans="1:3" x14ac:dyDescent="0.2">
      <c r="A131" s="19" t="s">
        <v>2710</v>
      </c>
      <c r="B131" s="19" t="s">
        <v>2711</v>
      </c>
      <c r="C131" s="15" t="s">
        <v>2712</v>
      </c>
    </row>
    <row r="132" spans="1:3" x14ac:dyDescent="0.2">
      <c r="A132" s="19" t="s">
        <v>2713</v>
      </c>
      <c r="B132" s="19" t="s">
        <v>2714</v>
      </c>
      <c r="C132" s="15" t="s">
        <v>2715</v>
      </c>
    </row>
    <row r="133" spans="1:3" x14ac:dyDescent="0.2">
      <c r="A133" s="19" t="s">
        <v>2716</v>
      </c>
      <c r="B133" s="19" t="s">
        <v>2717</v>
      </c>
      <c r="C133" s="15" t="s">
        <v>2718</v>
      </c>
    </row>
    <row r="134" spans="1:3" x14ac:dyDescent="0.2">
      <c r="A134" s="19" t="s">
        <v>2719</v>
      </c>
      <c r="B134" s="19" t="s">
        <v>2719</v>
      </c>
      <c r="C134" s="15" t="s">
        <v>2720</v>
      </c>
    </row>
    <row r="135" spans="1:3" x14ac:dyDescent="0.2">
      <c r="A135" s="19" t="s">
        <v>2721</v>
      </c>
      <c r="B135" s="19" t="s">
        <v>2721</v>
      </c>
      <c r="C135" s="15" t="s">
        <v>2720</v>
      </c>
    </row>
    <row r="136" spans="1:3" x14ac:dyDescent="0.2">
      <c r="A136" s="19" t="s">
        <v>2722</v>
      </c>
      <c r="B136" s="19" t="s">
        <v>2723</v>
      </c>
      <c r="C136" s="15" t="s">
        <v>2720</v>
      </c>
    </row>
    <row r="137" spans="1:3" x14ac:dyDescent="0.2">
      <c r="A137" s="19" t="s">
        <v>2724</v>
      </c>
      <c r="B137" s="19" t="s">
        <v>2724</v>
      </c>
      <c r="C137" s="15" t="s">
        <v>2725</v>
      </c>
    </row>
    <row r="138" spans="1:3" x14ac:dyDescent="0.2">
      <c r="A138" s="19" t="s">
        <v>2726</v>
      </c>
      <c r="B138" s="19" t="s">
        <v>2726</v>
      </c>
      <c r="C138" s="15" t="s">
        <v>2727</v>
      </c>
    </row>
    <row r="139" spans="1:3" x14ac:dyDescent="0.2">
      <c r="A139" s="19" t="s">
        <v>2728</v>
      </c>
      <c r="B139" s="19" t="s">
        <v>2729</v>
      </c>
      <c r="C139" s="15" t="s">
        <v>2727</v>
      </c>
    </row>
    <row r="140" spans="1:3" x14ac:dyDescent="0.2">
      <c r="A140" s="19" t="s">
        <v>2730</v>
      </c>
      <c r="B140" s="19" t="s">
        <v>2730</v>
      </c>
      <c r="C140" s="15" t="s">
        <v>2731</v>
      </c>
    </row>
    <row r="141" spans="1:3" x14ac:dyDescent="0.2">
      <c r="A141" s="19" t="s">
        <v>2732</v>
      </c>
      <c r="B141" s="19" t="s">
        <v>2733</v>
      </c>
      <c r="C141" s="15" t="s">
        <v>2731</v>
      </c>
    </row>
    <row r="142" spans="1:3" x14ac:dyDescent="0.2">
      <c r="A142" s="19" t="s">
        <v>2734</v>
      </c>
      <c r="B142" s="19" t="s">
        <v>2734</v>
      </c>
      <c r="C142" s="15" t="s">
        <v>2735</v>
      </c>
    </row>
    <row r="143" spans="1:3" x14ac:dyDescent="0.2">
      <c r="A143" s="19" t="s">
        <v>2736</v>
      </c>
      <c r="B143" s="19" t="s">
        <v>2737</v>
      </c>
      <c r="C143" s="15" t="s">
        <v>2735</v>
      </c>
    </row>
    <row r="144" spans="1:3" x14ac:dyDescent="0.2">
      <c r="A144" s="19" t="s">
        <v>2738</v>
      </c>
      <c r="B144" s="19" t="s">
        <v>2738</v>
      </c>
      <c r="C144" s="15" t="s">
        <v>2739</v>
      </c>
    </row>
    <row r="145" spans="1:3" x14ac:dyDescent="0.2">
      <c r="A145" s="19" t="s">
        <v>2740</v>
      </c>
      <c r="B145" s="19" t="s">
        <v>2741</v>
      </c>
      <c r="C145" s="15" t="s">
        <v>2742</v>
      </c>
    </row>
    <row r="146" spans="1:3" x14ac:dyDescent="0.2">
      <c r="A146" s="19" t="s">
        <v>2743</v>
      </c>
      <c r="B146" s="19" t="s">
        <v>2744</v>
      </c>
      <c r="C146" s="15" t="s">
        <v>2745</v>
      </c>
    </row>
    <row r="147" spans="1:3" x14ac:dyDescent="0.2">
      <c r="A147" s="19" t="s">
        <v>2746</v>
      </c>
      <c r="B147" s="19" t="s">
        <v>2747</v>
      </c>
      <c r="C147" s="15" t="s">
        <v>2748</v>
      </c>
    </row>
    <row r="148" spans="1:3" x14ac:dyDescent="0.2">
      <c r="A148" s="19" t="s">
        <v>2749</v>
      </c>
      <c r="B148" s="19" t="s">
        <v>2750</v>
      </c>
      <c r="C148" s="15" t="s">
        <v>2751</v>
      </c>
    </row>
    <row r="149" spans="1:3" x14ac:dyDescent="0.2">
      <c r="A149" s="19" t="s">
        <v>2752</v>
      </c>
      <c r="B149" s="19" t="s">
        <v>2753</v>
      </c>
      <c r="C149" s="15" t="s">
        <v>2754</v>
      </c>
    </row>
    <row r="150" spans="1:3" x14ac:dyDescent="0.2">
      <c r="A150" s="19" t="s">
        <v>2755</v>
      </c>
      <c r="B150" s="19" t="s">
        <v>2756</v>
      </c>
      <c r="C150" s="15" t="s">
        <v>2757</v>
      </c>
    </row>
    <row r="151" spans="1:3" x14ac:dyDescent="0.2">
      <c r="A151" s="19" t="s">
        <v>2758</v>
      </c>
      <c r="B151" s="19" t="s">
        <v>2759</v>
      </c>
      <c r="C151" s="15" t="s">
        <v>2760</v>
      </c>
    </row>
    <row r="152" spans="1:3" x14ac:dyDescent="0.2">
      <c r="A152" s="19" t="s">
        <v>2761</v>
      </c>
      <c r="B152" s="19" t="s">
        <v>2761</v>
      </c>
      <c r="C152" s="15" t="s">
        <v>2762</v>
      </c>
    </row>
    <row r="153" spans="1:3" x14ac:dyDescent="0.2">
      <c r="A153" s="19" t="s">
        <v>2763</v>
      </c>
      <c r="B153" s="19" t="s">
        <v>2763</v>
      </c>
      <c r="C153" s="15" t="s">
        <v>2764</v>
      </c>
    </row>
    <row r="154" spans="1:3" x14ac:dyDescent="0.2">
      <c r="A154" s="19" t="s">
        <v>2765</v>
      </c>
      <c r="B154" s="19" t="s">
        <v>2766</v>
      </c>
      <c r="C154" s="15" t="s">
        <v>2767</v>
      </c>
    </row>
    <row r="155" spans="1:3" x14ac:dyDescent="0.2">
      <c r="A155" s="19" t="s">
        <v>2768</v>
      </c>
      <c r="B155" s="19" t="s">
        <v>2769</v>
      </c>
      <c r="C155" s="15" t="s">
        <v>2770</v>
      </c>
    </row>
    <row r="156" spans="1:3" x14ac:dyDescent="0.2">
      <c r="A156" s="19" t="s">
        <v>2771</v>
      </c>
      <c r="B156" s="19" t="s">
        <v>2772</v>
      </c>
      <c r="C156" s="15" t="s">
        <v>2773</v>
      </c>
    </row>
    <row r="157" spans="1:3" x14ac:dyDescent="0.2">
      <c r="A157" s="19" t="s">
        <v>2774</v>
      </c>
      <c r="B157" s="19" t="s">
        <v>2775</v>
      </c>
      <c r="C157" s="15" t="s">
        <v>2776</v>
      </c>
    </row>
    <row r="158" spans="1:3" x14ac:dyDescent="0.2">
      <c r="A158" s="19" t="s">
        <v>2777</v>
      </c>
      <c r="B158" s="19" t="s">
        <v>2778</v>
      </c>
      <c r="C158" s="15" t="s">
        <v>2779</v>
      </c>
    </row>
    <row r="159" spans="1:3" x14ac:dyDescent="0.2">
      <c r="A159" s="19" t="s">
        <v>2780</v>
      </c>
      <c r="B159" s="19" t="s">
        <v>2780</v>
      </c>
      <c r="C159" s="15" t="s">
        <v>2781</v>
      </c>
    </row>
    <row r="160" spans="1:3" x14ac:dyDescent="0.2">
      <c r="A160" s="19" t="s">
        <v>2782</v>
      </c>
      <c r="B160" s="19" t="s">
        <v>2783</v>
      </c>
      <c r="C160" s="15" t="s">
        <v>2781</v>
      </c>
    </row>
    <row r="161" spans="1:3" x14ac:dyDescent="0.2">
      <c r="A161" s="19" t="s">
        <v>2784</v>
      </c>
      <c r="B161" s="19" t="s">
        <v>2784</v>
      </c>
      <c r="C161" s="15" t="s">
        <v>2785</v>
      </c>
    </row>
    <row r="162" spans="1:3" x14ac:dyDescent="0.2">
      <c r="A162" s="19" t="s">
        <v>2786</v>
      </c>
      <c r="B162" s="19" t="s">
        <v>2787</v>
      </c>
      <c r="C162" s="15" t="s">
        <v>2788</v>
      </c>
    </row>
    <row r="163" spans="1:3" x14ac:dyDescent="0.2">
      <c r="A163" s="19" t="s">
        <v>2789</v>
      </c>
      <c r="B163" s="19" t="s">
        <v>2790</v>
      </c>
      <c r="C163" s="15" t="s">
        <v>2791</v>
      </c>
    </row>
    <row r="164" spans="1:3" x14ac:dyDescent="0.2">
      <c r="A164" s="19" t="s">
        <v>2792</v>
      </c>
      <c r="B164" s="19" t="s">
        <v>2792</v>
      </c>
      <c r="C164" s="15" t="s">
        <v>2793</v>
      </c>
    </row>
    <row r="165" spans="1:3" x14ac:dyDescent="0.2">
      <c r="A165" s="19" t="s">
        <v>2794</v>
      </c>
      <c r="B165" s="19" t="s">
        <v>2794</v>
      </c>
      <c r="C165" s="15" t="s">
        <v>2795</v>
      </c>
    </row>
    <row r="166" spans="1:3" x14ac:dyDescent="0.2">
      <c r="A166" s="19" t="s">
        <v>2796</v>
      </c>
      <c r="B166" s="19" t="s">
        <v>2797</v>
      </c>
      <c r="C166" s="15" t="s">
        <v>2798</v>
      </c>
    </row>
    <row r="167" spans="1:3" x14ac:dyDescent="0.2">
      <c r="A167" s="19" t="s">
        <v>2799</v>
      </c>
      <c r="B167" s="19" t="s">
        <v>2800</v>
      </c>
      <c r="C167" s="15" t="s">
        <v>2801</v>
      </c>
    </row>
    <row r="168" spans="1:3" x14ac:dyDescent="0.2">
      <c r="A168" s="19" t="s">
        <v>2802</v>
      </c>
      <c r="B168" s="19" t="s">
        <v>2802</v>
      </c>
      <c r="C168" s="15" t="s">
        <v>2803</v>
      </c>
    </row>
    <row r="169" spans="1:3" x14ac:dyDescent="0.2">
      <c r="A169" s="19" t="s">
        <v>2804</v>
      </c>
      <c r="B169" s="19" t="s">
        <v>2805</v>
      </c>
      <c r="C169" s="15" t="s">
        <v>2803</v>
      </c>
    </row>
    <row r="170" spans="1:3" x14ac:dyDescent="0.2">
      <c r="A170" s="19" t="s">
        <v>2806</v>
      </c>
      <c r="B170" s="19" t="s">
        <v>2806</v>
      </c>
      <c r="C170" s="15" t="s">
        <v>2807</v>
      </c>
    </row>
    <row r="171" spans="1:3" x14ac:dyDescent="0.2">
      <c r="A171" s="19" t="s">
        <v>2808</v>
      </c>
      <c r="B171" s="19" t="s">
        <v>2808</v>
      </c>
      <c r="C171" s="15" t="s">
        <v>2809</v>
      </c>
    </row>
    <row r="172" spans="1:3" x14ac:dyDescent="0.2">
      <c r="A172" s="19" t="s">
        <v>2810</v>
      </c>
      <c r="B172" s="19" t="s">
        <v>2811</v>
      </c>
      <c r="C172" s="15" t="s">
        <v>2809</v>
      </c>
    </row>
    <row r="173" spans="1:3" x14ac:dyDescent="0.2">
      <c r="A173" s="19" t="s">
        <v>2812</v>
      </c>
      <c r="B173" s="19" t="s">
        <v>2812</v>
      </c>
      <c r="C173" s="15" t="s">
        <v>2813</v>
      </c>
    </row>
    <row r="174" spans="1:3" x14ac:dyDescent="0.2">
      <c r="A174" s="19" t="s">
        <v>2814</v>
      </c>
      <c r="B174" s="19" t="s">
        <v>2815</v>
      </c>
      <c r="C174" s="15" t="s">
        <v>2816</v>
      </c>
    </row>
    <row r="175" spans="1:3" x14ac:dyDescent="0.2">
      <c r="A175" s="19" t="s">
        <v>2817</v>
      </c>
      <c r="B175" s="19" t="s">
        <v>2818</v>
      </c>
      <c r="C175" s="15" t="s">
        <v>2819</v>
      </c>
    </row>
    <row r="176" spans="1:3" x14ac:dyDescent="0.2">
      <c r="A176" s="19" t="s">
        <v>2820</v>
      </c>
      <c r="B176" s="19" t="s">
        <v>2821</v>
      </c>
      <c r="C176" s="15" t="s">
        <v>2822</v>
      </c>
    </row>
    <row r="177" spans="1:3" x14ac:dyDescent="0.2">
      <c r="A177" s="19" t="s">
        <v>2823</v>
      </c>
      <c r="B177" s="19" t="s">
        <v>2824</v>
      </c>
      <c r="C177" s="15" t="s">
        <v>2825</v>
      </c>
    </row>
    <row r="178" spans="1:3" x14ac:dyDescent="0.2">
      <c r="A178" s="19" t="s">
        <v>2826</v>
      </c>
      <c r="B178" s="19" t="s">
        <v>2827</v>
      </c>
      <c r="C178" s="15" t="s">
        <v>2828</v>
      </c>
    </row>
    <row r="179" spans="1:3" x14ac:dyDescent="0.2">
      <c r="A179" s="19" t="s">
        <v>2829</v>
      </c>
      <c r="B179" s="19" t="s">
        <v>2829</v>
      </c>
      <c r="C179" s="15" t="s">
        <v>2830</v>
      </c>
    </row>
    <row r="180" spans="1:3" x14ac:dyDescent="0.2">
      <c r="A180" s="19" t="s">
        <v>2831</v>
      </c>
      <c r="B180" s="19" t="s">
        <v>2831</v>
      </c>
      <c r="C180" s="15" t="s">
        <v>2832</v>
      </c>
    </row>
    <row r="181" spans="1:3" x14ac:dyDescent="0.2">
      <c r="A181" s="19" t="s">
        <v>2833</v>
      </c>
      <c r="B181" s="19" t="s">
        <v>2834</v>
      </c>
      <c r="C181" s="15" t="s">
        <v>2835</v>
      </c>
    </row>
    <row r="182" spans="1:3" x14ac:dyDescent="0.2">
      <c r="A182" s="19" t="s">
        <v>2836</v>
      </c>
      <c r="B182" s="19" t="s">
        <v>2837</v>
      </c>
      <c r="C182" s="15" t="s">
        <v>2838</v>
      </c>
    </row>
    <row r="183" spans="1:3" x14ac:dyDescent="0.2">
      <c r="A183" s="19" t="s">
        <v>2839</v>
      </c>
      <c r="B183" s="19" t="s">
        <v>2839</v>
      </c>
      <c r="C183" s="15" t="s">
        <v>2840</v>
      </c>
    </row>
    <row r="184" spans="1:3" x14ac:dyDescent="0.2">
      <c r="A184" s="19" t="s">
        <v>2841</v>
      </c>
      <c r="B184" s="19" t="s">
        <v>2842</v>
      </c>
      <c r="C184" s="15" t="s">
        <v>2843</v>
      </c>
    </row>
    <row r="185" spans="1:3" x14ac:dyDescent="0.2">
      <c r="A185" s="19" t="s">
        <v>2844</v>
      </c>
      <c r="B185" s="19" t="s">
        <v>2845</v>
      </c>
      <c r="C185" s="15" t="s">
        <v>2846</v>
      </c>
    </row>
    <row r="186" spans="1:3" x14ac:dyDescent="0.2">
      <c r="A186" s="19" t="s">
        <v>2847</v>
      </c>
      <c r="B186" s="19" t="s">
        <v>2848</v>
      </c>
      <c r="C186" s="15" t="s">
        <v>2849</v>
      </c>
    </row>
    <row r="187" spans="1:3" x14ac:dyDescent="0.2">
      <c r="A187" s="19" t="s">
        <v>2850</v>
      </c>
      <c r="B187" s="19" t="s">
        <v>2851</v>
      </c>
      <c r="C187" s="15" t="s">
        <v>2852</v>
      </c>
    </row>
    <row r="188" spans="1:3" x14ac:dyDescent="0.2">
      <c r="A188" s="19" t="s">
        <v>2853</v>
      </c>
      <c r="B188" s="19" t="s">
        <v>2854</v>
      </c>
      <c r="C188" s="15" t="s">
        <v>2855</v>
      </c>
    </row>
    <row r="189" spans="1:3" x14ac:dyDescent="0.2">
      <c r="A189" s="19" t="s">
        <v>2856</v>
      </c>
      <c r="B189" s="19" t="s">
        <v>2856</v>
      </c>
      <c r="C189" s="15" t="s">
        <v>2857</v>
      </c>
    </row>
    <row r="190" spans="1:3" x14ac:dyDescent="0.2">
      <c r="A190" s="19" t="s">
        <v>2858</v>
      </c>
      <c r="B190" s="19" t="s">
        <v>2858</v>
      </c>
      <c r="C190" s="15" t="s">
        <v>2859</v>
      </c>
    </row>
    <row r="191" spans="1:3" x14ac:dyDescent="0.2">
      <c r="A191" s="19" t="s">
        <v>2860</v>
      </c>
      <c r="B191" s="19" t="s">
        <v>2861</v>
      </c>
      <c r="C191" s="15" t="s">
        <v>2862</v>
      </c>
    </row>
    <row r="192" spans="1:3" x14ac:dyDescent="0.2">
      <c r="A192" s="19" t="s">
        <v>2863</v>
      </c>
      <c r="B192" s="19" t="s">
        <v>2864</v>
      </c>
      <c r="C192" s="15" t="s">
        <v>2865</v>
      </c>
    </row>
    <row r="193" spans="1:3" x14ac:dyDescent="0.2">
      <c r="A193" s="19" t="s">
        <v>2866</v>
      </c>
      <c r="B193" s="19" t="s">
        <v>2867</v>
      </c>
      <c r="C193" s="15" t="s">
        <v>2868</v>
      </c>
    </row>
    <row r="194" spans="1:3" x14ac:dyDescent="0.2">
      <c r="A194" s="19" t="s">
        <v>2869</v>
      </c>
      <c r="B194" s="19" t="s">
        <v>2870</v>
      </c>
      <c r="C194" s="15" t="s">
        <v>2871</v>
      </c>
    </row>
    <row r="195" spans="1:3" x14ac:dyDescent="0.2">
      <c r="A195" s="19" t="s">
        <v>2872</v>
      </c>
      <c r="B195" s="19" t="s">
        <v>2872</v>
      </c>
      <c r="C195" s="15" t="s">
        <v>2873</v>
      </c>
    </row>
    <row r="196" spans="1:3" x14ac:dyDescent="0.2">
      <c r="A196" s="19" t="s">
        <v>2874</v>
      </c>
      <c r="B196" s="19" t="s">
        <v>2875</v>
      </c>
      <c r="C196" s="15" t="s">
        <v>2873</v>
      </c>
    </row>
    <row r="197" spans="1:3" x14ac:dyDescent="0.2">
      <c r="A197" s="19" t="s">
        <v>2876</v>
      </c>
      <c r="B197" s="19" t="s">
        <v>2876</v>
      </c>
      <c r="C197" s="15" t="s">
        <v>2877</v>
      </c>
    </row>
    <row r="198" spans="1:3" x14ac:dyDescent="0.2">
      <c r="A198" s="19" t="s">
        <v>2878</v>
      </c>
      <c r="B198" s="19" t="s">
        <v>2878</v>
      </c>
      <c r="C198" s="15" t="s">
        <v>2879</v>
      </c>
    </row>
    <row r="199" spans="1:3" x14ac:dyDescent="0.2">
      <c r="A199" s="19" t="s">
        <v>2880</v>
      </c>
      <c r="B199" s="19" t="s">
        <v>2881</v>
      </c>
      <c r="C199" s="15" t="s">
        <v>2879</v>
      </c>
    </row>
    <row r="200" spans="1:3" x14ac:dyDescent="0.2">
      <c r="A200" s="19" t="s">
        <v>2882</v>
      </c>
      <c r="B200" s="19" t="s">
        <v>2882</v>
      </c>
      <c r="C200" s="15" t="s">
        <v>2883</v>
      </c>
    </row>
    <row r="201" spans="1:3" x14ac:dyDescent="0.2">
      <c r="A201" s="19" t="s">
        <v>2884</v>
      </c>
      <c r="B201" s="19" t="s">
        <v>2885</v>
      </c>
      <c r="C201" s="15" t="s">
        <v>2883</v>
      </c>
    </row>
    <row r="202" spans="1:3" x14ac:dyDescent="0.2">
      <c r="A202" s="19" t="s">
        <v>2886</v>
      </c>
      <c r="B202" s="19" t="s">
        <v>2886</v>
      </c>
      <c r="C202" s="15" t="s">
        <v>2887</v>
      </c>
    </row>
    <row r="203" spans="1:3" x14ac:dyDescent="0.2">
      <c r="A203" s="19" t="s">
        <v>2888</v>
      </c>
      <c r="B203" s="19" t="s">
        <v>2888</v>
      </c>
      <c r="C203" s="15" t="s">
        <v>2889</v>
      </c>
    </row>
    <row r="204" spans="1:3" x14ac:dyDescent="0.2">
      <c r="A204" s="19" t="s">
        <v>2890</v>
      </c>
      <c r="B204" s="19" t="s">
        <v>2891</v>
      </c>
      <c r="C204" s="15" t="s">
        <v>2892</v>
      </c>
    </row>
    <row r="205" spans="1:3" x14ac:dyDescent="0.2">
      <c r="A205" s="19" t="s">
        <v>2893</v>
      </c>
      <c r="B205" s="19" t="s">
        <v>2894</v>
      </c>
      <c r="C205" s="15" t="s">
        <v>2895</v>
      </c>
    </row>
    <row r="206" spans="1:3" x14ac:dyDescent="0.2">
      <c r="A206" s="19" t="s">
        <v>2896</v>
      </c>
      <c r="B206" s="19" t="s">
        <v>2897</v>
      </c>
      <c r="C206" s="15" t="s">
        <v>2898</v>
      </c>
    </row>
    <row r="207" spans="1:3" x14ac:dyDescent="0.2">
      <c r="A207" s="19" t="s">
        <v>2899</v>
      </c>
      <c r="B207" s="19" t="s">
        <v>2900</v>
      </c>
      <c r="C207" s="15" t="s">
        <v>2901</v>
      </c>
    </row>
    <row r="208" spans="1:3" x14ac:dyDescent="0.2">
      <c r="A208" s="19" t="s">
        <v>2902</v>
      </c>
      <c r="B208" s="19" t="s">
        <v>2903</v>
      </c>
      <c r="C208" s="15" t="s">
        <v>2904</v>
      </c>
    </row>
    <row r="209" spans="1:3" x14ac:dyDescent="0.2">
      <c r="A209" s="19" t="s">
        <v>2905</v>
      </c>
      <c r="B209" s="19" t="s">
        <v>2906</v>
      </c>
      <c r="C209" s="15" t="s">
        <v>2907</v>
      </c>
    </row>
    <row r="210" spans="1:3" x14ac:dyDescent="0.2">
      <c r="A210" s="19" t="s">
        <v>2908</v>
      </c>
      <c r="B210" s="19" t="s">
        <v>2909</v>
      </c>
      <c r="C210" s="15" t="s">
        <v>2910</v>
      </c>
    </row>
    <row r="211" spans="1:3" x14ac:dyDescent="0.2">
      <c r="A211" s="19" t="s">
        <v>2911</v>
      </c>
      <c r="B211" s="19" t="s">
        <v>2911</v>
      </c>
      <c r="C211" s="15" t="s">
        <v>2912</v>
      </c>
    </row>
    <row r="212" spans="1:3" x14ac:dyDescent="0.2">
      <c r="A212" s="19" t="s">
        <v>2913</v>
      </c>
      <c r="B212" s="19" t="s">
        <v>2914</v>
      </c>
      <c r="C212" s="15" t="s">
        <v>2912</v>
      </c>
    </row>
    <row r="213" spans="1:3" x14ac:dyDescent="0.2">
      <c r="A213" s="19" t="s">
        <v>2915</v>
      </c>
      <c r="B213" s="19" t="s">
        <v>2915</v>
      </c>
      <c r="C213" s="15" t="s">
        <v>2916</v>
      </c>
    </row>
    <row r="214" spans="1:3" x14ac:dyDescent="0.2">
      <c r="A214" s="19" t="s">
        <v>2917</v>
      </c>
      <c r="B214" s="19" t="s">
        <v>2918</v>
      </c>
      <c r="C214" s="15" t="s">
        <v>2916</v>
      </c>
    </row>
    <row r="215" spans="1:3" x14ac:dyDescent="0.2">
      <c r="A215" s="19" t="s">
        <v>2919</v>
      </c>
      <c r="B215" s="19" t="s">
        <v>2919</v>
      </c>
      <c r="C215" s="15" t="s">
        <v>2920</v>
      </c>
    </row>
    <row r="216" spans="1:3" x14ac:dyDescent="0.2">
      <c r="A216" s="19" t="s">
        <v>2921</v>
      </c>
      <c r="B216" s="19" t="s">
        <v>2922</v>
      </c>
      <c r="C216" s="15" t="s">
        <v>2923</v>
      </c>
    </row>
    <row r="217" spans="1:3" x14ac:dyDescent="0.2">
      <c r="A217" s="19" t="s">
        <v>2924</v>
      </c>
      <c r="B217" s="19" t="s">
        <v>2925</v>
      </c>
      <c r="C217" s="15" t="s">
        <v>2926</v>
      </c>
    </row>
    <row r="218" spans="1:3" x14ac:dyDescent="0.2">
      <c r="A218" s="19" t="s">
        <v>2927</v>
      </c>
      <c r="B218" s="19" t="s">
        <v>2927</v>
      </c>
      <c r="C218" s="15" t="s">
        <v>2928</v>
      </c>
    </row>
    <row r="219" spans="1:3" x14ac:dyDescent="0.2">
      <c r="A219" s="19" t="s">
        <v>2929</v>
      </c>
      <c r="B219" s="19" t="s">
        <v>2930</v>
      </c>
      <c r="C219" s="15" t="s">
        <v>2931</v>
      </c>
    </row>
    <row r="220" spans="1:3" x14ac:dyDescent="0.2">
      <c r="A220" s="19" t="s">
        <v>2932</v>
      </c>
      <c r="B220" s="19" t="s">
        <v>2933</v>
      </c>
      <c r="C220" s="15" t="s">
        <v>2934</v>
      </c>
    </row>
    <row r="221" spans="1:3" x14ac:dyDescent="0.2">
      <c r="A221" s="19" t="s">
        <v>2935</v>
      </c>
      <c r="B221" s="19" t="s">
        <v>2936</v>
      </c>
      <c r="C221" s="15" t="s">
        <v>2937</v>
      </c>
    </row>
    <row r="222" spans="1:3" x14ac:dyDescent="0.2">
      <c r="A222" s="19" t="s">
        <v>2938</v>
      </c>
      <c r="B222" s="19" t="s">
        <v>2939</v>
      </c>
      <c r="C222" s="15" t="s">
        <v>2940</v>
      </c>
    </row>
    <row r="223" spans="1:3" x14ac:dyDescent="0.2">
      <c r="A223" s="19" t="s">
        <v>2941</v>
      </c>
      <c r="B223" s="19" t="s">
        <v>2941</v>
      </c>
      <c r="C223" s="15" t="s">
        <v>2942</v>
      </c>
    </row>
    <row r="224" spans="1:3" x14ac:dyDescent="0.2">
      <c r="A224" s="19" t="s">
        <v>2943</v>
      </c>
      <c r="B224" s="19" t="s">
        <v>2944</v>
      </c>
      <c r="C224" s="15" t="s">
        <v>2942</v>
      </c>
    </row>
    <row r="225" spans="1:3" x14ac:dyDescent="0.2">
      <c r="A225" s="19" t="s">
        <v>2945</v>
      </c>
      <c r="B225" s="19" t="s">
        <v>2945</v>
      </c>
      <c r="C225" s="15" t="s">
        <v>2946</v>
      </c>
    </row>
    <row r="226" spans="1:3" x14ac:dyDescent="0.2">
      <c r="A226" s="19" t="s">
        <v>2947</v>
      </c>
      <c r="B226" s="19" t="s">
        <v>2947</v>
      </c>
      <c r="C226" s="15" t="s">
        <v>2948</v>
      </c>
    </row>
    <row r="227" spans="1:3" x14ac:dyDescent="0.2">
      <c r="A227" s="19" t="s">
        <v>2949</v>
      </c>
      <c r="B227" s="19" t="s">
        <v>2950</v>
      </c>
      <c r="C227" s="15" t="s">
        <v>2948</v>
      </c>
    </row>
    <row r="228" spans="1:3" x14ac:dyDescent="0.2">
      <c r="A228" s="19" t="s">
        <v>2951</v>
      </c>
      <c r="B228" s="19" t="s">
        <v>2951</v>
      </c>
      <c r="C228" s="15" t="s">
        <v>2952</v>
      </c>
    </row>
    <row r="229" spans="1:3" x14ac:dyDescent="0.2">
      <c r="A229" s="19" t="s">
        <v>2953</v>
      </c>
      <c r="B229" s="19" t="s">
        <v>2954</v>
      </c>
      <c r="C229" s="15" t="s">
        <v>2952</v>
      </c>
    </row>
    <row r="230" spans="1:3" x14ac:dyDescent="0.2">
      <c r="A230" s="19" t="s">
        <v>2955</v>
      </c>
      <c r="B230" s="19" t="s">
        <v>2955</v>
      </c>
      <c r="C230" s="15" t="s">
        <v>2956</v>
      </c>
    </row>
    <row r="231" spans="1:3" x14ac:dyDescent="0.2">
      <c r="A231" s="19" t="s">
        <v>2957</v>
      </c>
      <c r="B231" s="19" t="s">
        <v>2957</v>
      </c>
      <c r="C231" s="15" t="s">
        <v>2958</v>
      </c>
    </row>
    <row r="232" spans="1:3" x14ac:dyDescent="0.2">
      <c r="A232" s="19" t="s">
        <v>2959</v>
      </c>
      <c r="B232" s="19" t="s">
        <v>2960</v>
      </c>
      <c r="C232" s="15" t="s">
        <v>2961</v>
      </c>
    </row>
    <row r="233" spans="1:3" x14ac:dyDescent="0.2">
      <c r="A233" s="19" t="s">
        <v>2962</v>
      </c>
      <c r="B233" s="19" t="s">
        <v>2963</v>
      </c>
      <c r="C233" s="15" t="s">
        <v>2964</v>
      </c>
    </row>
    <row r="234" spans="1:3" x14ac:dyDescent="0.2">
      <c r="A234" s="19" t="s">
        <v>2965</v>
      </c>
      <c r="B234" s="19" t="s">
        <v>2965</v>
      </c>
      <c r="C234" s="15" t="s">
        <v>2966</v>
      </c>
    </row>
    <row r="235" spans="1:3" x14ac:dyDescent="0.2">
      <c r="A235" s="19" t="s">
        <v>2967</v>
      </c>
      <c r="B235" s="19" t="s">
        <v>2968</v>
      </c>
      <c r="C235" s="15" t="s">
        <v>2969</v>
      </c>
    </row>
    <row r="236" spans="1:3" x14ac:dyDescent="0.2">
      <c r="A236" s="19" t="s">
        <v>2970</v>
      </c>
      <c r="B236" s="19" t="s">
        <v>2971</v>
      </c>
      <c r="C236" s="15" t="s">
        <v>2972</v>
      </c>
    </row>
    <row r="237" spans="1:3" x14ac:dyDescent="0.2">
      <c r="A237" s="19" t="s">
        <v>2973</v>
      </c>
      <c r="B237" s="19" t="s">
        <v>2974</v>
      </c>
      <c r="C237" s="15" t="s">
        <v>2975</v>
      </c>
    </row>
    <row r="238" spans="1:3" x14ac:dyDescent="0.2">
      <c r="A238" s="19" t="s">
        <v>2976</v>
      </c>
      <c r="B238" s="19" t="s">
        <v>2977</v>
      </c>
      <c r="C238" s="15" t="s">
        <v>2978</v>
      </c>
    </row>
    <row r="239" spans="1:3" x14ac:dyDescent="0.2">
      <c r="A239" s="19" t="s">
        <v>2979</v>
      </c>
      <c r="B239" s="19" t="s">
        <v>2979</v>
      </c>
      <c r="C239" s="15" t="s">
        <v>2980</v>
      </c>
    </row>
    <row r="240" spans="1:3" x14ac:dyDescent="0.2">
      <c r="A240" s="19" t="s">
        <v>2981</v>
      </c>
      <c r="B240" s="19" t="s">
        <v>2981</v>
      </c>
      <c r="C240" s="15" t="s">
        <v>2982</v>
      </c>
    </row>
    <row r="241" spans="1:3" x14ac:dyDescent="0.2">
      <c r="A241" s="19" t="s">
        <v>2983</v>
      </c>
      <c r="B241" s="19" t="s">
        <v>2984</v>
      </c>
      <c r="C241" s="15" t="s">
        <v>2985</v>
      </c>
    </row>
    <row r="242" spans="1:3" x14ac:dyDescent="0.2">
      <c r="A242" s="19" t="s">
        <v>2986</v>
      </c>
      <c r="B242" s="19" t="s">
        <v>2987</v>
      </c>
      <c r="C242" s="15" t="s">
        <v>2988</v>
      </c>
    </row>
    <row r="243" spans="1:3" x14ac:dyDescent="0.2">
      <c r="A243" s="19" t="s">
        <v>2989</v>
      </c>
      <c r="B243" s="19" t="s">
        <v>2990</v>
      </c>
      <c r="C243" s="15" t="s">
        <v>2991</v>
      </c>
    </row>
    <row r="244" spans="1:3" x14ac:dyDescent="0.2">
      <c r="A244" s="19" t="s">
        <v>2992</v>
      </c>
      <c r="B244" s="19" t="s">
        <v>2993</v>
      </c>
      <c r="C244" s="15" t="s">
        <v>2994</v>
      </c>
    </row>
    <row r="245" spans="1:3" x14ac:dyDescent="0.2">
      <c r="A245" s="19" t="s">
        <v>2995</v>
      </c>
      <c r="B245" s="19" t="s">
        <v>2996</v>
      </c>
      <c r="C245" s="15" t="s">
        <v>2997</v>
      </c>
    </row>
    <row r="246" spans="1:3" x14ac:dyDescent="0.2">
      <c r="A246" s="19" t="s">
        <v>2998</v>
      </c>
      <c r="B246" s="19" t="s">
        <v>2998</v>
      </c>
      <c r="C246" s="15" t="s">
        <v>2999</v>
      </c>
    </row>
    <row r="247" spans="1:3" x14ac:dyDescent="0.2">
      <c r="A247" s="19" t="s">
        <v>3000</v>
      </c>
      <c r="B247" s="19" t="s">
        <v>3001</v>
      </c>
      <c r="C247" s="15" t="s">
        <v>2999</v>
      </c>
    </row>
    <row r="248" spans="1:3" x14ac:dyDescent="0.2">
      <c r="A248" s="19" t="s">
        <v>3002</v>
      </c>
      <c r="B248" s="19" t="s">
        <v>3002</v>
      </c>
      <c r="C248" s="15" t="s">
        <v>3003</v>
      </c>
    </row>
    <row r="249" spans="1:3" x14ac:dyDescent="0.2">
      <c r="A249" s="19" t="s">
        <v>3004</v>
      </c>
      <c r="B249" s="19" t="s">
        <v>3005</v>
      </c>
      <c r="C249" s="15" t="s">
        <v>3006</v>
      </c>
    </row>
    <row r="250" spans="1:3" x14ac:dyDescent="0.2">
      <c r="A250" s="19" t="s">
        <v>3007</v>
      </c>
      <c r="B250" s="19" t="s">
        <v>3008</v>
      </c>
      <c r="C250" s="15" t="s">
        <v>3009</v>
      </c>
    </row>
    <row r="251" spans="1:3" x14ac:dyDescent="0.2">
      <c r="A251" s="19" t="s">
        <v>3010</v>
      </c>
      <c r="B251" s="19" t="s">
        <v>3010</v>
      </c>
      <c r="C251" s="15" t="s">
        <v>3011</v>
      </c>
    </row>
    <row r="252" spans="1:3" x14ac:dyDescent="0.2">
      <c r="A252" s="19" t="s">
        <v>3012</v>
      </c>
      <c r="B252" s="19" t="s">
        <v>3013</v>
      </c>
      <c r="C252" s="15" t="s">
        <v>3014</v>
      </c>
    </row>
    <row r="253" spans="1:3" x14ac:dyDescent="0.2">
      <c r="A253" s="19" t="s">
        <v>3015</v>
      </c>
      <c r="B253" s="19" t="s">
        <v>3016</v>
      </c>
      <c r="C253" s="15" t="s">
        <v>3017</v>
      </c>
    </row>
    <row r="254" spans="1:3" x14ac:dyDescent="0.2">
      <c r="A254" s="19" t="s">
        <v>3018</v>
      </c>
      <c r="B254" s="19" t="s">
        <v>3019</v>
      </c>
      <c r="C254" s="15" t="s">
        <v>3020</v>
      </c>
    </row>
    <row r="255" spans="1:3" x14ac:dyDescent="0.2">
      <c r="A255" s="19" t="s">
        <v>3021</v>
      </c>
      <c r="B255" s="19" t="s">
        <v>3022</v>
      </c>
      <c r="C255" s="15" t="s">
        <v>3023</v>
      </c>
    </row>
    <row r="256" spans="1:3" x14ac:dyDescent="0.2">
      <c r="A256" s="19" t="s">
        <v>3024</v>
      </c>
      <c r="B256" s="19" t="s">
        <v>3025</v>
      </c>
      <c r="C256" s="15" t="s">
        <v>3026</v>
      </c>
    </row>
    <row r="257" spans="1:3" x14ac:dyDescent="0.2">
      <c r="A257" s="19" t="s">
        <v>3027</v>
      </c>
      <c r="B257" s="19" t="s">
        <v>3027</v>
      </c>
      <c r="C257" s="15" t="s">
        <v>3028</v>
      </c>
    </row>
    <row r="258" spans="1:3" x14ac:dyDescent="0.2">
      <c r="A258" s="19" t="s">
        <v>3029</v>
      </c>
      <c r="B258" s="19" t="s">
        <v>3030</v>
      </c>
      <c r="C258" s="15" t="s">
        <v>3031</v>
      </c>
    </row>
    <row r="259" spans="1:3" x14ac:dyDescent="0.2">
      <c r="A259" s="19" t="s">
        <v>3032</v>
      </c>
      <c r="B259" s="19" t="s">
        <v>3033</v>
      </c>
      <c r="C259" s="15" t="s">
        <v>3034</v>
      </c>
    </row>
    <row r="260" spans="1:3" x14ac:dyDescent="0.2">
      <c r="A260" s="19" t="s">
        <v>3035</v>
      </c>
      <c r="B260" s="19" t="s">
        <v>3035</v>
      </c>
      <c r="C260" s="15" t="s">
        <v>3036</v>
      </c>
    </row>
    <row r="261" spans="1:3" x14ac:dyDescent="0.2">
      <c r="A261" s="19" t="s">
        <v>3037</v>
      </c>
      <c r="B261" s="19" t="s">
        <v>3038</v>
      </c>
      <c r="C261" s="15" t="s">
        <v>3039</v>
      </c>
    </row>
    <row r="262" spans="1:3" x14ac:dyDescent="0.2">
      <c r="A262" s="19" t="s">
        <v>3040</v>
      </c>
      <c r="B262" s="19" t="s">
        <v>3041</v>
      </c>
      <c r="C262" s="15" t="s">
        <v>3042</v>
      </c>
    </row>
    <row r="263" spans="1:3" x14ac:dyDescent="0.2">
      <c r="A263" s="19" t="s">
        <v>3043</v>
      </c>
      <c r="B263" s="19" t="s">
        <v>3044</v>
      </c>
      <c r="C263" s="15" t="s">
        <v>3045</v>
      </c>
    </row>
    <row r="264" spans="1:3" x14ac:dyDescent="0.2">
      <c r="A264" s="19" t="s">
        <v>3046</v>
      </c>
      <c r="B264" s="19" t="s">
        <v>3047</v>
      </c>
      <c r="C264" s="15" t="s">
        <v>3048</v>
      </c>
    </row>
    <row r="265" spans="1:3" x14ac:dyDescent="0.2">
      <c r="A265" s="19" t="s">
        <v>3049</v>
      </c>
      <c r="B265" s="19" t="s">
        <v>3050</v>
      </c>
      <c r="C265" s="15" t="s">
        <v>3051</v>
      </c>
    </row>
    <row r="266" spans="1:3" x14ac:dyDescent="0.2">
      <c r="A266" s="19" t="s">
        <v>3052</v>
      </c>
      <c r="B266" s="19" t="s">
        <v>3053</v>
      </c>
      <c r="C266" s="15" t="s">
        <v>3054</v>
      </c>
    </row>
    <row r="267" spans="1:3" x14ac:dyDescent="0.2">
      <c r="A267" s="19" t="s">
        <v>3055</v>
      </c>
      <c r="B267" s="19" t="s">
        <v>3055</v>
      </c>
      <c r="C267" s="15" t="s">
        <v>3056</v>
      </c>
    </row>
    <row r="268" spans="1:3" x14ac:dyDescent="0.2">
      <c r="A268" s="19" t="s">
        <v>3057</v>
      </c>
      <c r="B268" s="19" t="s">
        <v>3058</v>
      </c>
      <c r="C268" s="15" t="s">
        <v>3056</v>
      </c>
    </row>
    <row r="269" spans="1:3" x14ac:dyDescent="0.2">
      <c r="A269" s="19" t="s">
        <v>3059</v>
      </c>
      <c r="B269" s="19" t="s">
        <v>3059</v>
      </c>
      <c r="C269" s="15" t="s">
        <v>3060</v>
      </c>
    </row>
    <row r="270" spans="1:3" x14ac:dyDescent="0.2">
      <c r="A270" s="19" t="s">
        <v>3061</v>
      </c>
      <c r="B270" s="19" t="s">
        <v>3062</v>
      </c>
      <c r="C270" s="15" t="s">
        <v>3063</v>
      </c>
    </row>
    <row r="271" spans="1:3" x14ac:dyDescent="0.2">
      <c r="A271" s="19" t="s">
        <v>3064</v>
      </c>
      <c r="B271" s="19" t="s">
        <v>3065</v>
      </c>
      <c r="C271" s="15" t="s">
        <v>3066</v>
      </c>
    </row>
    <row r="272" spans="1:3" x14ac:dyDescent="0.2">
      <c r="A272" s="19" t="s">
        <v>3067</v>
      </c>
      <c r="B272" s="19" t="s">
        <v>3067</v>
      </c>
      <c r="C272" s="15" t="s">
        <v>3068</v>
      </c>
    </row>
    <row r="273" spans="1:3" x14ac:dyDescent="0.2">
      <c r="A273" s="19" t="s">
        <v>3069</v>
      </c>
      <c r="B273" s="19" t="s">
        <v>3069</v>
      </c>
      <c r="C273" s="15" t="s">
        <v>3070</v>
      </c>
    </row>
    <row r="274" spans="1:3" x14ac:dyDescent="0.2">
      <c r="A274" s="19" t="s">
        <v>3071</v>
      </c>
      <c r="B274" s="19" t="s">
        <v>3072</v>
      </c>
      <c r="C274" s="15" t="s">
        <v>3070</v>
      </c>
    </row>
    <row r="275" spans="1:3" x14ac:dyDescent="0.2">
      <c r="A275" s="19" t="s">
        <v>3073</v>
      </c>
      <c r="B275" s="19" t="s">
        <v>3073</v>
      </c>
      <c r="C275" s="15" t="s">
        <v>3074</v>
      </c>
    </row>
    <row r="276" spans="1:3" x14ac:dyDescent="0.2">
      <c r="A276" s="19" t="s">
        <v>3075</v>
      </c>
      <c r="B276" s="19" t="s">
        <v>3076</v>
      </c>
      <c r="C276" s="15" t="s">
        <v>3074</v>
      </c>
    </row>
    <row r="277" spans="1:3" x14ac:dyDescent="0.2">
      <c r="A277" s="19" t="s">
        <v>3077</v>
      </c>
      <c r="B277" s="19" t="s">
        <v>3077</v>
      </c>
      <c r="C277" s="15" t="s">
        <v>3078</v>
      </c>
    </row>
    <row r="278" spans="1:3" x14ac:dyDescent="0.2">
      <c r="A278" s="19" t="s">
        <v>3079</v>
      </c>
      <c r="B278" s="19" t="s">
        <v>3080</v>
      </c>
      <c r="C278" s="15" t="s">
        <v>3081</v>
      </c>
    </row>
    <row r="279" spans="1:3" x14ac:dyDescent="0.2">
      <c r="A279" s="19" t="s">
        <v>3082</v>
      </c>
      <c r="B279" s="19" t="s">
        <v>3083</v>
      </c>
      <c r="C279" s="15" t="s">
        <v>3084</v>
      </c>
    </row>
    <row r="280" spans="1:3" x14ac:dyDescent="0.2">
      <c r="A280" s="19" t="s">
        <v>3085</v>
      </c>
      <c r="B280" s="19" t="s">
        <v>3086</v>
      </c>
      <c r="C280" s="15" t="s">
        <v>3087</v>
      </c>
    </row>
    <row r="281" spans="1:3" x14ac:dyDescent="0.2">
      <c r="A281" s="19" t="s">
        <v>3088</v>
      </c>
      <c r="B281" s="19" t="s">
        <v>3089</v>
      </c>
      <c r="C281" s="15" t="s">
        <v>3090</v>
      </c>
    </row>
    <row r="282" spans="1:3" x14ac:dyDescent="0.2">
      <c r="A282" s="19" t="s">
        <v>3091</v>
      </c>
      <c r="B282" s="19" t="s">
        <v>3091</v>
      </c>
      <c r="C282" s="15" t="s">
        <v>3092</v>
      </c>
    </row>
    <row r="283" spans="1:3" x14ac:dyDescent="0.2">
      <c r="A283" s="19" t="s">
        <v>3093</v>
      </c>
      <c r="B283" s="19" t="s">
        <v>3094</v>
      </c>
      <c r="C283" s="15" t="s">
        <v>3095</v>
      </c>
    </row>
    <row r="284" spans="1:3" x14ac:dyDescent="0.2">
      <c r="A284" s="19" t="s">
        <v>3096</v>
      </c>
      <c r="B284" s="19" t="s">
        <v>3097</v>
      </c>
      <c r="C284" s="15" t="s">
        <v>3098</v>
      </c>
    </row>
    <row r="285" spans="1:3" x14ac:dyDescent="0.2">
      <c r="A285" s="19" t="s">
        <v>3099</v>
      </c>
      <c r="B285" s="19" t="s">
        <v>3100</v>
      </c>
      <c r="C285" s="15" t="s">
        <v>3101</v>
      </c>
    </row>
    <row r="286" spans="1:3" x14ac:dyDescent="0.2">
      <c r="A286" s="19" t="s">
        <v>3102</v>
      </c>
      <c r="B286" s="19" t="s">
        <v>3103</v>
      </c>
      <c r="C286" s="15" t="s">
        <v>3104</v>
      </c>
    </row>
    <row r="287" spans="1:3" x14ac:dyDescent="0.2">
      <c r="A287" s="19" t="s">
        <v>3105</v>
      </c>
      <c r="B287" s="19" t="s">
        <v>3106</v>
      </c>
      <c r="C287" s="15" t="s">
        <v>3107</v>
      </c>
    </row>
    <row r="288" spans="1:3" x14ac:dyDescent="0.2">
      <c r="A288" s="19" t="s">
        <v>3108</v>
      </c>
      <c r="B288" s="19" t="s">
        <v>3109</v>
      </c>
      <c r="C288" s="15" t="s">
        <v>3110</v>
      </c>
    </row>
    <row r="289" spans="1:3" x14ac:dyDescent="0.2">
      <c r="A289" s="19" t="s">
        <v>3111</v>
      </c>
      <c r="B289" s="19" t="s">
        <v>3111</v>
      </c>
      <c r="C289" s="15" t="s">
        <v>3112</v>
      </c>
    </row>
    <row r="290" spans="1:3" x14ac:dyDescent="0.2">
      <c r="A290" s="19" t="s">
        <v>3113</v>
      </c>
      <c r="B290" s="19" t="s">
        <v>3114</v>
      </c>
      <c r="C290" s="15" t="s">
        <v>3115</v>
      </c>
    </row>
    <row r="291" spans="1:3" x14ac:dyDescent="0.2">
      <c r="A291" s="19" t="s">
        <v>3116</v>
      </c>
      <c r="B291" s="19" t="s">
        <v>3117</v>
      </c>
      <c r="C291" s="15" t="s">
        <v>3118</v>
      </c>
    </row>
    <row r="292" spans="1:3" x14ac:dyDescent="0.2">
      <c r="A292" s="19" t="s">
        <v>3119</v>
      </c>
      <c r="B292" s="19" t="s">
        <v>3120</v>
      </c>
      <c r="C292" s="15" t="s">
        <v>3121</v>
      </c>
    </row>
    <row r="293" spans="1:3" x14ac:dyDescent="0.2">
      <c r="A293" s="19" t="s">
        <v>3122</v>
      </c>
      <c r="B293" s="19" t="s">
        <v>3123</v>
      </c>
      <c r="C293" s="15" t="s">
        <v>3124</v>
      </c>
    </row>
    <row r="294" spans="1:3" x14ac:dyDescent="0.2">
      <c r="A294" s="19" t="s">
        <v>3125</v>
      </c>
      <c r="B294" s="19" t="s">
        <v>3125</v>
      </c>
      <c r="C294" s="15" t="s">
        <v>3126</v>
      </c>
    </row>
    <row r="295" spans="1:3" x14ac:dyDescent="0.2">
      <c r="A295" s="19" t="s">
        <v>3127</v>
      </c>
      <c r="B295" s="19" t="s">
        <v>3127</v>
      </c>
      <c r="C295" s="15" t="s">
        <v>3128</v>
      </c>
    </row>
    <row r="296" spans="1:3" x14ac:dyDescent="0.2">
      <c r="A296" s="19" t="s">
        <v>3129</v>
      </c>
      <c r="B296" s="19" t="s">
        <v>3130</v>
      </c>
      <c r="C296" s="15" t="s">
        <v>3131</v>
      </c>
    </row>
    <row r="297" spans="1:3" x14ac:dyDescent="0.2">
      <c r="A297" s="19" t="s">
        <v>3132</v>
      </c>
      <c r="B297" s="19" t="s">
        <v>3133</v>
      </c>
      <c r="C297" s="15" t="s">
        <v>3134</v>
      </c>
    </row>
    <row r="298" spans="1:3" x14ac:dyDescent="0.2">
      <c r="A298" s="19" t="s">
        <v>3135</v>
      </c>
      <c r="B298" s="19" t="s">
        <v>3135</v>
      </c>
      <c r="C298" s="15" t="s">
        <v>3136</v>
      </c>
    </row>
    <row r="299" spans="1:3" x14ac:dyDescent="0.2">
      <c r="A299" s="19" t="s">
        <v>3137</v>
      </c>
      <c r="B299" s="19" t="s">
        <v>3138</v>
      </c>
      <c r="C299" s="15" t="s">
        <v>3139</v>
      </c>
    </row>
    <row r="300" spans="1:3" x14ac:dyDescent="0.2">
      <c r="A300" s="19" t="s">
        <v>3140</v>
      </c>
      <c r="B300" s="19" t="s">
        <v>3141</v>
      </c>
      <c r="C300" s="15" t="s">
        <v>3142</v>
      </c>
    </row>
    <row r="301" spans="1:3" x14ac:dyDescent="0.2">
      <c r="A301" s="19" t="s">
        <v>3143</v>
      </c>
      <c r="B301" s="19" t="s">
        <v>3143</v>
      </c>
      <c r="C301" s="15" t="s">
        <v>3144</v>
      </c>
    </row>
    <row r="302" spans="1:3" x14ac:dyDescent="0.2">
      <c r="A302" s="19" t="s">
        <v>3145</v>
      </c>
      <c r="B302" s="19" t="s">
        <v>3146</v>
      </c>
      <c r="C302" s="15" t="s">
        <v>3144</v>
      </c>
    </row>
    <row r="303" spans="1:3" x14ac:dyDescent="0.2">
      <c r="A303" s="19" t="s">
        <v>3147</v>
      </c>
      <c r="B303" s="19" t="s">
        <v>3147</v>
      </c>
      <c r="C303" s="15" t="s">
        <v>3148</v>
      </c>
    </row>
    <row r="304" spans="1:3" x14ac:dyDescent="0.2">
      <c r="A304" s="19" t="s">
        <v>3149</v>
      </c>
      <c r="B304" s="19" t="s">
        <v>3150</v>
      </c>
      <c r="C304" s="15" t="s">
        <v>3148</v>
      </c>
    </row>
    <row r="305" spans="1:3" x14ac:dyDescent="0.2">
      <c r="A305" s="19" t="s">
        <v>3151</v>
      </c>
      <c r="B305" s="19" t="s">
        <v>3151</v>
      </c>
      <c r="C305" s="15" t="s">
        <v>3152</v>
      </c>
    </row>
    <row r="306" spans="1:3" x14ac:dyDescent="0.2">
      <c r="A306" s="19" t="s">
        <v>3153</v>
      </c>
      <c r="B306" s="19" t="s">
        <v>3154</v>
      </c>
      <c r="C306" s="15" t="s">
        <v>3152</v>
      </c>
    </row>
    <row r="307" spans="1:3" x14ac:dyDescent="0.2">
      <c r="A307" s="19" t="s">
        <v>3155</v>
      </c>
      <c r="B307" s="19" t="s">
        <v>3155</v>
      </c>
      <c r="C307" s="15" t="s">
        <v>3156</v>
      </c>
    </row>
    <row r="308" spans="1:3" x14ac:dyDescent="0.2">
      <c r="A308" s="19" t="s">
        <v>3157</v>
      </c>
      <c r="B308" s="19" t="s">
        <v>3158</v>
      </c>
      <c r="C308" s="15" t="s">
        <v>3159</v>
      </c>
    </row>
    <row r="309" spans="1:3" x14ac:dyDescent="0.2">
      <c r="A309" s="19" t="s">
        <v>3160</v>
      </c>
      <c r="B309" s="19" t="s">
        <v>3161</v>
      </c>
      <c r="C309" s="15" t="s">
        <v>3162</v>
      </c>
    </row>
    <row r="310" spans="1:3" x14ac:dyDescent="0.2">
      <c r="A310" s="19" t="s">
        <v>3163</v>
      </c>
      <c r="B310" s="19" t="s">
        <v>3163</v>
      </c>
      <c r="C310" s="15" t="s">
        <v>3164</v>
      </c>
    </row>
    <row r="311" spans="1:3" x14ac:dyDescent="0.2">
      <c r="A311" s="19" t="s">
        <v>3165</v>
      </c>
      <c r="B311" s="19" t="s">
        <v>3166</v>
      </c>
      <c r="C311" s="15" t="s">
        <v>3167</v>
      </c>
    </row>
    <row r="312" spans="1:3" x14ac:dyDescent="0.2">
      <c r="A312" s="19" t="s">
        <v>3168</v>
      </c>
      <c r="B312" s="19" t="s">
        <v>3169</v>
      </c>
      <c r="C312" s="15" t="s">
        <v>3170</v>
      </c>
    </row>
    <row r="313" spans="1:3" x14ac:dyDescent="0.2">
      <c r="A313" s="19" t="s">
        <v>3171</v>
      </c>
      <c r="B313" s="19" t="s">
        <v>3172</v>
      </c>
      <c r="C313" s="15" t="s">
        <v>3173</v>
      </c>
    </row>
    <row r="314" spans="1:3" x14ac:dyDescent="0.2">
      <c r="A314" s="19" t="s">
        <v>3174</v>
      </c>
      <c r="B314" s="19" t="s">
        <v>3174</v>
      </c>
      <c r="C314" s="15" t="s">
        <v>3175</v>
      </c>
    </row>
    <row r="315" spans="1:3" x14ac:dyDescent="0.2">
      <c r="A315" s="19" t="s">
        <v>3176</v>
      </c>
      <c r="B315" s="19" t="s">
        <v>3177</v>
      </c>
      <c r="C315" s="15" t="s">
        <v>3178</v>
      </c>
    </row>
    <row r="316" spans="1:3" x14ac:dyDescent="0.2">
      <c r="A316" s="19" t="s">
        <v>3179</v>
      </c>
      <c r="B316" s="19" t="s">
        <v>3180</v>
      </c>
      <c r="C316" s="15" t="s">
        <v>3181</v>
      </c>
    </row>
    <row r="317" spans="1:3" x14ac:dyDescent="0.2">
      <c r="A317" s="19" t="s">
        <v>3182</v>
      </c>
      <c r="B317" s="19" t="s">
        <v>3183</v>
      </c>
      <c r="C317" s="15" t="s">
        <v>3184</v>
      </c>
    </row>
    <row r="318" spans="1:3" x14ac:dyDescent="0.2">
      <c r="A318" s="19" t="s">
        <v>3185</v>
      </c>
      <c r="B318" s="19" t="s">
        <v>3186</v>
      </c>
      <c r="C318" s="15" t="s">
        <v>3187</v>
      </c>
    </row>
    <row r="319" spans="1:3" x14ac:dyDescent="0.2">
      <c r="A319" s="19" t="s">
        <v>3188</v>
      </c>
      <c r="B319" s="19" t="s">
        <v>3189</v>
      </c>
      <c r="C319" s="15" t="s">
        <v>3190</v>
      </c>
    </row>
    <row r="320" spans="1:3" x14ac:dyDescent="0.2">
      <c r="A320" s="19" t="s">
        <v>3191</v>
      </c>
      <c r="B320" s="19" t="s">
        <v>3191</v>
      </c>
      <c r="C320" s="15" t="s">
        <v>3192</v>
      </c>
    </row>
    <row r="321" spans="1:3" x14ac:dyDescent="0.2">
      <c r="A321" s="19" t="s">
        <v>3193</v>
      </c>
      <c r="B321" s="19" t="s">
        <v>3193</v>
      </c>
      <c r="C321" s="15" t="s">
        <v>3194</v>
      </c>
    </row>
    <row r="322" spans="1:3" x14ac:dyDescent="0.2">
      <c r="A322" s="19" t="s">
        <v>3195</v>
      </c>
      <c r="B322" s="19" t="s">
        <v>3196</v>
      </c>
      <c r="C322" s="15" t="s">
        <v>3197</v>
      </c>
    </row>
    <row r="323" spans="1:3" x14ac:dyDescent="0.2">
      <c r="A323" s="19" t="s">
        <v>3198</v>
      </c>
      <c r="B323" s="19" t="s">
        <v>3199</v>
      </c>
      <c r="C323" s="15" t="s">
        <v>3200</v>
      </c>
    </row>
    <row r="324" spans="1:3" x14ac:dyDescent="0.2">
      <c r="A324" s="19" t="s">
        <v>3201</v>
      </c>
      <c r="B324" s="19" t="s">
        <v>3201</v>
      </c>
      <c r="C324" s="15" t="s">
        <v>3202</v>
      </c>
    </row>
    <row r="325" spans="1:3" x14ac:dyDescent="0.2">
      <c r="A325" s="19" t="s">
        <v>3203</v>
      </c>
      <c r="B325" s="19" t="s">
        <v>3204</v>
      </c>
      <c r="C325" s="15" t="s">
        <v>3202</v>
      </c>
    </row>
    <row r="326" spans="1:3" x14ac:dyDescent="0.2">
      <c r="A326" s="19" t="s">
        <v>3205</v>
      </c>
      <c r="B326" s="19" t="s">
        <v>3205</v>
      </c>
      <c r="C326" s="15" t="s">
        <v>3206</v>
      </c>
    </row>
    <row r="327" spans="1:3" x14ac:dyDescent="0.2">
      <c r="A327" s="19" t="s">
        <v>3207</v>
      </c>
      <c r="B327" s="19" t="s">
        <v>3208</v>
      </c>
      <c r="C327" s="15" t="s">
        <v>3206</v>
      </c>
    </row>
    <row r="328" spans="1:3" x14ac:dyDescent="0.2">
      <c r="A328" s="19" t="s">
        <v>3209</v>
      </c>
      <c r="B328" s="19" t="s">
        <v>3209</v>
      </c>
      <c r="C328" s="15" t="s">
        <v>3210</v>
      </c>
    </row>
    <row r="329" spans="1:3" x14ac:dyDescent="0.2">
      <c r="A329" s="19" t="s">
        <v>3211</v>
      </c>
      <c r="B329" s="19" t="s">
        <v>3212</v>
      </c>
      <c r="C329" s="15" t="s">
        <v>3210</v>
      </c>
    </row>
    <row r="330" spans="1:3" x14ac:dyDescent="0.2">
      <c r="A330" s="19" t="s">
        <v>3213</v>
      </c>
      <c r="B330" s="19" t="s">
        <v>3213</v>
      </c>
      <c r="C330" s="15" t="s">
        <v>3214</v>
      </c>
    </row>
    <row r="331" spans="1:3" x14ac:dyDescent="0.2">
      <c r="A331" s="19" t="s">
        <v>3215</v>
      </c>
      <c r="B331" s="19" t="s">
        <v>3216</v>
      </c>
      <c r="C331" s="15" t="s">
        <v>3217</v>
      </c>
    </row>
    <row r="332" spans="1:3" x14ac:dyDescent="0.2">
      <c r="A332" s="19" t="s">
        <v>3218</v>
      </c>
      <c r="B332" s="19" t="s">
        <v>3219</v>
      </c>
      <c r="C332" s="15" t="s">
        <v>3220</v>
      </c>
    </row>
    <row r="333" spans="1:3" x14ac:dyDescent="0.2">
      <c r="A333" s="19" t="s">
        <v>3221</v>
      </c>
      <c r="B333" s="19" t="s">
        <v>3221</v>
      </c>
      <c r="C333" s="15" t="s">
        <v>3222</v>
      </c>
    </row>
    <row r="334" spans="1:3" x14ac:dyDescent="0.2">
      <c r="A334" s="19" t="s">
        <v>3223</v>
      </c>
      <c r="B334" s="19" t="s">
        <v>3224</v>
      </c>
      <c r="C334" s="15" t="s">
        <v>3222</v>
      </c>
    </row>
    <row r="335" spans="1:3" x14ac:dyDescent="0.2">
      <c r="A335" s="19" t="s">
        <v>3225</v>
      </c>
      <c r="B335" s="19" t="s">
        <v>3225</v>
      </c>
      <c r="C335" s="15" t="s">
        <v>3226</v>
      </c>
    </row>
    <row r="336" spans="1:3" x14ac:dyDescent="0.2">
      <c r="A336" s="19" t="s">
        <v>3227</v>
      </c>
      <c r="B336" s="19" t="s">
        <v>3228</v>
      </c>
      <c r="C336" s="15" t="s">
        <v>3226</v>
      </c>
    </row>
    <row r="337" spans="1:3" x14ac:dyDescent="0.2">
      <c r="A337" s="19" t="s">
        <v>3229</v>
      </c>
      <c r="B337" s="19" t="s">
        <v>3229</v>
      </c>
      <c r="C337" s="15" t="s">
        <v>3230</v>
      </c>
    </row>
    <row r="338" spans="1:3" x14ac:dyDescent="0.2">
      <c r="A338" s="19" t="s">
        <v>3231</v>
      </c>
      <c r="B338" s="19" t="s">
        <v>3232</v>
      </c>
      <c r="C338" s="15" t="s">
        <v>3230</v>
      </c>
    </row>
    <row r="339" spans="1:3" x14ac:dyDescent="0.2">
      <c r="A339" s="19" t="s">
        <v>3233</v>
      </c>
      <c r="B339" s="19" t="s">
        <v>3233</v>
      </c>
      <c r="C339" s="15" t="s">
        <v>3234</v>
      </c>
    </row>
    <row r="340" spans="1:3" x14ac:dyDescent="0.2">
      <c r="A340" s="19" t="s">
        <v>3235</v>
      </c>
      <c r="B340" s="19" t="s">
        <v>3235</v>
      </c>
      <c r="C340" s="15" t="s">
        <v>3236</v>
      </c>
    </row>
    <row r="341" spans="1:3" x14ac:dyDescent="0.2">
      <c r="A341" s="19" t="s">
        <v>3237</v>
      </c>
      <c r="B341" s="19" t="s">
        <v>3238</v>
      </c>
      <c r="C341" s="15" t="s">
        <v>3239</v>
      </c>
    </row>
    <row r="342" spans="1:3" x14ac:dyDescent="0.2">
      <c r="A342" s="19" t="s">
        <v>3240</v>
      </c>
      <c r="B342" s="19" t="s">
        <v>3241</v>
      </c>
      <c r="C342" s="15" t="s">
        <v>3242</v>
      </c>
    </row>
    <row r="343" spans="1:3" x14ac:dyDescent="0.2">
      <c r="A343" s="19" t="s">
        <v>3243</v>
      </c>
      <c r="B343" s="19" t="s">
        <v>3243</v>
      </c>
      <c r="C343" s="15" t="s">
        <v>3244</v>
      </c>
    </row>
    <row r="344" spans="1:3" x14ac:dyDescent="0.2">
      <c r="A344" s="19" t="s">
        <v>3245</v>
      </c>
      <c r="B344" s="19" t="s">
        <v>3246</v>
      </c>
      <c r="C344" s="15" t="s">
        <v>3244</v>
      </c>
    </row>
    <row r="345" spans="1:3" x14ac:dyDescent="0.2">
      <c r="A345" s="19" t="s">
        <v>3247</v>
      </c>
      <c r="B345" s="19" t="s">
        <v>3247</v>
      </c>
      <c r="C345" s="15" t="s">
        <v>3248</v>
      </c>
    </row>
    <row r="346" spans="1:3" x14ac:dyDescent="0.2">
      <c r="A346" s="19" t="s">
        <v>3249</v>
      </c>
      <c r="B346" s="19" t="s">
        <v>3250</v>
      </c>
      <c r="C346" s="15" t="s">
        <v>3251</v>
      </c>
    </row>
    <row r="347" spans="1:3" x14ac:dyDescent="0.2">
      <c r="A347" s="19" t="s">
        <v>3252</v>
      </c>
      <c r="B347" s="19" t="s">
        <v>3253</v>
      </c>
      <c r="C347" s="15" t="s">
        <v>3254</v>
      </c>
    </row>
    <row r="348" spans="1:3" x14ac:dyDescent="0.2">
      <c r="A348" s="19" t="s">
        <v>3255</v>
      </c>
      <c r="B348" s="19" t="s">
        <v>3256</v>
      </c>
      <c r="C348" s="15" t="s">
        <v>3257</v>
      </c>
    </row>
    <row r="349" spans="1:3" x14ac:dyDescent="0.2">
      <c r="A349" s="19" t="s">
        <v>3258</v>
      </c>
      <c r="B349" s="19" t="s">
        <v>3258</v>
      </c>
      <c r="C349" s="15" t="s">
        <v>3259</v>
      </c>
    </row>
    <row r="350" spans="1:3" x14ac:dyDescent="0.2">
      <c r="A350" s="19" t="s">
        <v>3260</v>
      </c>
      <c r="B350" s="19" t="s">
        <v>3261</v>
      </c>
      <c r="C350" s="15" t="s">
        <v>3259</v>
      </c>
    </row>
    <row r="351" spans="1:3" x14ac:dyDescent="0.2">
      <c r="A351" s="19" t="s">
        <v>3262</v>
      </c>
      <c r="B351" s="19" t="s">
        <v>3262</v>
      </c>
      <c r="C351" s="15" t="s">
        <v>3263</v>
      </c>
    </row>
    <row r="352" spans="1:3" x14ac:dyDescent="0.2">
      <c r="A352" s="19" t="s">
        <v>3264</v>
      </c>
      <c r="B352" s="19" t="s">
        <v>3265</v>
      </c>
      <c r="C352" s="15" t="s">
        <v>3266</v>
      </c>
    </row>
    <row r="353" spans="1:3" x14ac:dyDescent="0.2">
      <c r="A353" s="19" t="s">
        <v>3267</v>
      </c>
      <c r="B353" s="19" t="s">
        <v>3268</v>
      </c>
      <c r="C353" s="15" t="s">
        <v>3269</v>
      </c>
    </row>
    <row r="354" spans="1:3" x14ac:dyDescent="0.2">
      <c r="A354" s="19" t="s">
        <v>3270</v>
      </c>
      <c r="B354" s="19" t="s">
        <v>3270</v>
      </c>
      <c r="C354" s="15" t="s">
        <v>3271</v>
      </c>
    </row>
    <row r="355" spans="1:3" x14ac:dyDescent="0.2">
      <c r="A355" s="19" t="s">
        <v>3272</v>
      </c>
      <c r="B355" s="19" t="s">
        <v>3273</v>
      </c>
      <c r="C355" s="15" t="s">
        <v>3271</v>
      </c>
    </row>
    <row r="356" spans="1:3" x14ac:dyDescent="0.2">
      <c r="A356" s="19" t="s">
        <v>3274</v>
      </c>
      <c r="B356" s="19" t="s">
        <v>3274</v>
      </c>
      <c r="C356" s="15" t="s">
        <v>3275</v>
      </c>
    </row>
    <row r="357" spans="1:3" x14ac:dyDescent="0.2">
      <c r="A357" s="19" t="s">
        <v>3276</v>
      </c>
      <c r="B357" s="19" t="s">
        <v>3276</v>
      </c>
      <c r="C357" s="15" t="s">
        <v>3277</v>
      </c>
    </row>
    <row r="358" spans="1:3" x14ac:dyDescent="0.2">
      <c r="A358" s="19" t="s">
        <v>3278</v>
      </c>
      <c r="B358" s="19" t="s">
        <v>3279</v>
      </c>
      <c r="C358" s="15" t="s">
        <v>3280</v>
      </c>
    </row>
    <row r="359" spans="1:3" x14ac:dyDescent="0.2">
      <c r="A359" s="19" t="s">
        <v>3281</v>
      </c>
      <c r="B359" s="19" t="s">
        <v>3282</v>
      </c>
      <c r="C359" s="15" t="s">
        <v>3283</v>
      </c>
    </row>
    <row r="360" spans="1:3" x14ac:dyDescent="0.2">
      <c r="A360" s="19" t="s">
        <v>3284</v>
      </c>
      <c r="B360" s="19" t="s">
        <v>3285</v>
      </c>
      <c r="C360" s="15" t="s">
        <v>3286</v>
      </c>
    </row>
    <row r="361" spans="1:3" x14ac:dyDescent="0.2">
      <c r="A361" s="19" t="s">
        <v>3287</v>
      </c>
      <c r="B361" s="19" t="s">
        <v>3288</v>
      </c>
      <c r="C361" s="15" t="s">
        <v>3289</v>
      </c>
    </row>
    <row r="362" spans="1:3" x14ac:dyDescent="0.2">
      <c r="A362" s="19" t="s">
        <v>3290</v>
      </c>
      <c r="B362" s="19" t="s">
        <v>3291</v>
      </c>
      <c r="C362" s="15" t="s">
        <v>3292</v>
      </c>
    </row>
    <row r="363" spans="1:3" x14ac:dyDescent="0.2">
      <c r="A363" s="19" t="s">
        <v>3293</v>
      </c>
      <c r="B363" s="19" t="s">
        <v>3293</v>
      </c>
      <c r="C363" s="15" t="s">
        <v>3294</v>
      </c>
    </row>
    <row r="364" spans="1:3" x14ac:dyDescent="0.2">
      <c r="A364" s="19" t="s">
        <v>3295</v>
      </c>
      <c r="B364" s="19" t="s">
        <v>3296</v>
      </c>
      <c r="C364" s="15" t="s">
        <v>3297</v>
      </c>
    </row>
    <row r="365" spans="1:3" x14ac:dyDescent="0.2">
      <c r="A365" s="19" t="s">
        <v>3298</v>
      </c>
      <c r="B365" s="19" t="s">
        <v>3299</v>
      </c>
      <c r="C365" s="15" t="s">
        <v>3300</v>
      </c>
    </row>
    <row r="366" spans="1:3" x14ac:dyDescent="0.2">
      <c r="A366" s="19" t="s">
        <v>3301</v>
      </c>
      <c r="B366" s="19" t="s">
        <v>3302</v>
      </c>
      <c r="C366" s="15" t="s">
        <v>3303</v>
      </c>
    </row>
    <row r="367" spans="1:3" x14ac:dyDescent="0.2">
      <c r="A367" s="19" t="s">
        <v>3304</v>
      </c>
      <c r="B367" s="19" t="s">
        <v>3305</v>
      </c>
      <c r="C367" s="15" t="s">
        <v>3306</v>
      </c>
    </row>
    <row r="368" spans="1:3" x14ac:dyDescent="0.2">
      <c r="A368" s="19" t="s">
        <v>3307</v>
      </c>
      <c r="B368" s="19" t="s">
        <v>3308</v>
      </c>
      <c r="C368" s="15" t="s">
        <v>3309</v>
      </c>
    </row>
    <row r="369" spans="1:3" x14ac:dyDescent="0.2">
      <c r="A369" s="19" t="s">
        <v>3310</v>
      </c>
      <c r="B369" s="19" t="s">
        <v>3311</v>
      </c>
      <c r="C369" s="15" t="s">
        <v>3312</v>
      </c>
    </row>
    <row r="370" spans="1:3" x14ac:dyDescent="0.2">
      <c r="A370" s="19" t="s">
        <v>3313</v>
      </c>
      <c r="B370" s="19" t="s">
        <v>3313</v>
      </c>
      <c r="C370" s="15" t="s">
        <v>3314</v>
      </c>
    </row>
    <row r="371" spans="1:3" x14ac:dyDescent="0.2">
      <c r="A371" s="19" t="s">
        <v>3315</v>
      </c>
      <c r="B371" s="19" t="s">
        <v>3316</v>
      </c>
      <c r="C371" s="15" t="s">
        <v>3314</v>
      </c>
    </row>
    <row r="372" spans="1:3" x14ac:dyDescent="0.2">
      <c r="A372" s="19" t="s">
        <v>3317</v>
      </c>
      <c r="B372" s="19" t="s">
        <v>3317</v>
      </c>
      <c r="C372" s="15" t="s">
        <v>3318</v>
      </c>
    </row>
    <row r="373" spans="1:3" x14ac:dyDescent="0.2">
      <c r="A373" s="19" t="s">
        <v>3319</v>
      </c>
      <c r="B373" s="19" t="s">
        <v>3320</v>
      </c>
      <c r="C373" s="15" t="s">
        <v>3321</v>
      </c>
    </row>
    <row r="374" spans="1:3" x14ac:dyDescent="0.2">
      <c r="A374" s="19" t="s">
        <v>3322</v>
      </c>
      <c r="B374" s="19" t="s">
        <v>3323</v>
      </c>
      <c r="C374" s="15" t="s">
        <v>3324</v>
      </c>
    </row>
    <row r="375" spans="1:3" x14ac:dyDescent="0.2">
      <c r="A375" s="19" t="s">
        <v>3325</v>
      </c>
      <c r="B375" s="19" t="s">
        <v>3325</v>
      </c>
      <c r="C375" s="15" t="s">
        <v>3326</v>
      </c>
    </row>
    <row r="376" spans="1:3" x14ac:dyDescent="0.2">
      <c r="A376" s="19" t="s">
        <v>3327</v>
      </c>
      <c r="B376" s="19" t="s">
        <v>3328</v>
      </c>
      <c r="C376" s="15" t="s">
        <v>3329</v>
      </c>
    </row>
    <row r="377" spans="1:3" x14ac:dyDescent="0.2">
      <c r="A377" s="19" t="s">
        <v>3330</v>
      </c>
      <c r="B377" s="19" t="s">
        <v>3331</v>
      </c>
      <c r="C377" s="15" t="s">
        <v>3332</v>
      </c>
    </row>
    <row r="378" spans="1:3" x14ac:dyDescent="0.2">
      <c r="A378" s="19" t="s">
        <v>3333</v>
      </c>
      <c r="B378" s="19" t="s">
        <v>3334</v>
      </c>
      <c r="C378" s="15" t="s">
        <v>3335</v>
      </c>
    </row>
    <row r="379" spans="1:3" x14ac:dyDescent="0.2">
      <c r="A379" s="19" t="s">
        <v>3336</v>
      </c>
      <c r="B379" s="19" t="s">
        <v>3337</v>
      </c>
      <c r="C379" s="15" t="s">
        <v>3338</v>
      </c>
    </row>
    <row r="380" spans="1:3" x14ac:dyDescent="0.2">
      <c r="A380" s="19" t="s">
        <v>3339</v>
      </c>
      <c r="B380" s="19" t="s">
        <v>3340</v>
      </c>
      <c r="C380" s="15" t="s">
        <v>3341</v>
      </c>
    </row>
    <row r="381" spans="1:3" x14ac:dyDescent="0.2">
      <c r="A381" s="19" t="s">
        <v>3342</v>
      </c>
      <c r="B381" s="19" t="s">
        <v>3343</v>
      </c>
      <c r="C381" s="15" t="s">
        <v>3344</v>
      </c>
    </row>
    <row r="382" spans="1:3" x14ac:dyDescent="0.2">
      <c r="A382" s="19" t="s">
        <v>3345</v>
      </c>
      <c r="B382" s="19" t="s">
        <v>3346</v>
      </c>
      <c r="C382" s="15" t="s">
        <v>3347</v>
      </c>
    </row>
    <row r="383" spans="1:3" x14ac:dyDescent="0.2">
      <c r="A383" s="19" t="s">
        <v>3348</v>
      </c>
      <c r="B383" s="19" t="s">
        <v>3348</v>
      </c>
      <c r="C383" s="15" t="s">
        <v>3349</v>
      </c>
    </row>
    <row r="384" spans="1:3" x14ac:dyDescent="0.2">
      <c r="A384" s="19" t="s">
        <v>3350</v>
      </c>
      <c r="B384" s="19" t="s">
        <v>3350</v>
      </c>
      <c r="C384" s="15" t="s">
        <v>3351</v>
      </c>
    </row>
    <row r="385" spans="1:3" x14ac:dyDescent="0.2">
      <c r="A385" s="19" t="s">
        <v>3352</v>
      </c>
      <c r="B385" s="19" t="s">
        <v>3353</v>
      </c>
      <c r="C385" s="15" t="s">
        <v>3351</v>
      </c>
    </row>
    <row r="386" spans="1:3" x14ac:dyDescent="0.2">
      <c r="A386" s="19" t="s">
        <v>3354</v>
      </c>
      <c r="B386" s="19" t="s">
        <v>3354</v>
      </c>
      <c r="C386" s="15" t="s">
        <v>3355</v>
      </c>
    </row>
    <row r="387" spans="1:3" x14ac:dyDescent="0.2">
      <c r="A387" s="19" t="s">
        <v>3356</v>
      </c>
      <c r="B387" s="19" t="s">
        <v>3357</v>
      </c>
      <c r="C387" s="15" t="s">
        <v>3355</v>
      </c>
    </row>
    <row r="388" spans="1:3" x14ac:dyDescent="0.2">
      <c r="A388" s="19" t="s">
        <v>3358</v>
      </c>
      <c r="B388" s="19" t="s">
        <v>3358</v>
      </c>
      <c r="C388" s="15" t="s">
        <v>3359</v>
      </c>
    </row>
    <row r="389" spans="1:3" x14ac:dyDescent="0.2">
      <c r="A389" s="19" t="s">
        <v>3360</v>
      </c>
      <c r="B389" s="19" t="s">
        <v>3361</v>
      </c>
      <c r="C389" s="15" t="s">
        <v>3362</v>
      </c>
    </row>
    <row r="390" spans="1:3" x14ac:dyDescent="0.2">
      <c r="A390" s="19" t="s">
        <v>3363</v>
      </c>
      <c r="B390" s="19" t="s">
        <v>3364</v>
      </c>
      <c r="C390" s="15" t="s">
        <v>3365</v>
      </c>
    </row>
    <row r="391" spans="1:3" x14ac:dyDescent="0.2">
      <c r="A391" s="19" t="s">
        <v>3366</v>
      </c>
      <c r="B391" s="19" t="s">
        <v>3366</v>
      </c>
      <c r="C391" s="15" t="s">
        <v>3367</v>
      </c>
    </row>
    <row r="392" spans="1:3" x14ac:dyDescent="0.2">
      <c r="A392" s="19" t="s">
        <v>3368</v>
      </c>
      <c r="B392" s="19" t="s">
        <v>3368</v>
      </c>
      <c r="C392" s="15" t="s">
        <v>3369</v>
      </c>
    </row>
    <row r="393" spans="1:3" x14ac:dyDescent="0.2">
      <c r="A393" s="19" t="s">
        <v>3370</v>
      </c>
      <c r="B393" s="19" t="s">
        <v>3371</v>
      </c>
      <c r="C393" s="15" t="s">
        <v>3372</v>
      </c>
    </row>
    <row r="394" spans="1:3" x14ac:dyDescent="0.2">
      <c r="A394" s="19" t="s">
        <v>3373</v>
      </c>
      <c r="B394" s="19" t="s">
        <v>3374</v>
      </c>
      <c r="C394" s="15" t="s">
        <v>3375</v>
      </c>
    </row>
    <row r="395" spans="1:3" x14ac:dyDescent="0.2">
      <c r="A395" s="19" t="s">
        <v>3376</v>
      </c>
      <c r="B395" s="19" t="s">
        <v>3376</v>
      </c>
      <c r="C395" s="15" t="s">
        <v>3377</v>
      </c>
    </row>
    <row r="396" spans="1:3" x14ac:dyDescent="0.2">
      <c r="A396" s="19" t="s">
        <v>3378</v>
      </c>
      <c r="B396" s="19" t="s">
        <v>3379</v>
      </c>
      <c r="C396" s="15" t="s">
        <v>3377</v>
      </c>
    </row>
    <row r="397" spans="1:3" x14ac:dyDescent="0.2">
      <c r="A397" s="19" t="s">
        <v>3380</v>
      </c>
      <c r="B397" s="19" t="s">
        <v>3380</v>
      </c>
      <c r="C397" s="15" t="s">
        <v>3381</v>
      </c>
    </row>
    <row r="398" spans="1:3" x14ac:dyDescent="0.2">
      <c r="A398" s="19" t="s">
        <v>3382</v>
      </c>
      <c r="B398" s="19" t="s">
        <v>3383</v>
      </c>
      <c r="C398" s="15" t="s">
        <v>3381</v>
      </c>
    </row>
    <row r="399" spans="1:3" x14ac:dyDescent="0.2">
      <c r="A399" s="19" t="s">
        <v>3384</v>
      </c>
      <c r="B399" s="19" t="s">
        <v>3384</v>
      </c>
      <c r="C399" s="15" t="s">
        <v>3385</v>
      </c>
    </row>
    <row r="400" spans="1:3" x14ac:dyDescent="0.2">
      <c r="A400" s="19" t="s">
        <v>3386</v>
      </c>
      <c r="B400" s="19" t="s">
        <v>3387</v>
      </c>
      <c r="C400" s="15" t="s">
        <v>3385</v>
      </c>
    </row>
    <row r="401" spans="1:3" x14ac:dyDescent="0.2">
      <c r="A401" s="19" t="s">
        <v>3388</v>
      </c>
      <c r="B401" s="19" t="s">
        <v>3388</v>
      </c>
      <c r="C401" s="15" t="s">
        <v>3389</v>
      </c>
    </row>
    <row r="402" spans="1:3" x14ac:dyDescent="0.2">
      <c r="A402" s="19" t="s">
        <v>3390</v>
      </c>
      <c r="B402" s="19" t="s">
        <v>3391</v>
      </c>
      <c r="C402" s="15" t="s">
        <v>3392</v>
      </c>
    </row>
    <row r="403" spans="1:3" x14ac:dyDescent="0.2">
      <c r="A403" s="19" t="s">
        <v>3393</v>
      </c>
      <c r="B403" s="19" t="s">
        <v>3394</v>
      </c>
      <c r="C403" s="15" t="s">
        <v>3395</v>
      </c>
    </row>
    <row r="404" spans="1:3" x14ac:dyDescent="0.2">
      <c r="A404" s="19" t="s">
        <v>3396</v>
      </c>
      <c r="B404" s="19" t="s">
        <v>3397</v>
      </c>
      <c r="C404" s="15" t="s">
        <v>3398</v>
      </c>
    </row>
    <row r="405" spans="1:3" x14ac:dyDescent="0.2">
      <c r="A405" s="19" t="s">
        <v>3399</v>
      </c>
      <c r="B405" s="19" t="s">
        <v>3399</v>
      </c>
      <c r="C405" s="15" t="s">
        <v>3400</v>
      </c>
    </row>
    <row r="406" spans="1:3" x14ac:dyDescent="0.2">
      <c r="A406" s="19" t="s">
        <v>3401</v>
      </c>
      <c r="B406" s="19" t="s">
        <v>3401</v>
      </c>
      <c r="C406" s="15" t="s">
        <v>3400</v>
      </c>
    </row>
    <row r="407" spans="1:3" x14ac:dyDescent="0.2">
      <c r="A407" s="19" t="s">
        <v>3402</v>
      </c>
      <c r="B407" s="19" t="s">
        <v>3403</v>
      </c>
      <c r="C407" s="15" t="s">
        <v>3404</v>
      </c>
    </row>
    <row r="408" spans="1:3" x14ac:dyDescent="0.2">
      <c r="A408" s="19" t="s">
        <v>3405</v>
      </c>
      <c r="B408" s="19" t="s">
        <v>3406</v>
      </c>
      <c r="C408" s="15" t="s">
        <v>3407</v>
      </c>
    </row>
    <row r="409" spans="1:3" x14ac:dyDescent="0.2">
      <c r="A409" s="19" t="s">
        <v>3408</v>
      </c>
      <c r="B409" s="19" t="s">
        <v>3409</v>
      </c>
      <c r="C409" s="15" t="s">
        <v>3410</v>
      </c>
    </row>
    <row r="410" spans="1:3" x14ac:dyDescent="0.2">
      <c r="A410" s="19" t="s">
        <v>3411</v>
      </c>
      <c r="B410" s="19" t="s">
        <v>3412</v>
      </c>
      <c r="C410" s="15" t="s">
        <v>3413</v>
      </c>
    </row>
    <row r="411" spans="1:3" x14ac:dyDescent="0.2">
      <c r="A411" s="19" t="s">
        <v>3414</v>
      </c>
      <c r="B411" s="19" t="s">
        <v>3414</v>
      </c>
      <c r="C411" s="15" t="s">
        <v>3415</v>
      </c>
    </row>
    <row r="412" spans="1:3" x14ac:dyDescent="0.2">
      <c r="A412" s="19" t="s">
        <v>3416</v>
      </c>
      <c r="B412" s="19" t="s">
        <v>3416</v>
      </c>
      <c r="C412" s="15" t="s">
        <v>3417</v>
      </c>
    </row>
    <row r="413" spans="1:3" x14ac:dyDescent="0.2">
      <c r="A413" s="19" t="s">
        <v>3418</v>
      </c>
      <c r="B413" s="19" t="s">
        <v>3419</v>
      </c>
      <c r="C413" s="15" t="s">
        <v>3420</v>
      </c>
    </row>
    <row r="414" spans="1:3" x14ac:dyDescent="0.2">
      <c r="A414" s="19" t="s">
        <v>3421</v>
      </c>
      <c r="B414" s="19" t="s">
        <v>3422</v>
      </c>
      <c r="C414" s="15" t="s">
        <v>3423</v>
      </c>
    </row>
    <row r="415" spans="1:3" x14ac:dyDescent="0.2">
      <c r="A415" s="19" t="s">
        <v>3424</v>
      </c>
      <c r="B415" s="19" t="s">
        <v>3425</v>
      </c>
      <c r="C415" s="15" t="s">
        <v>3426</v>
      </c>
    </row>
    <row r="416" spans="1:3" x14ac:dyDescent="0.2">
      <c r="A416" s="19" t="s">
        <v>3427</v>
      </c>
      <c r="B416" s="19" t="s">
        <v>3427</v>
      </c>
      <c r="C416" s="15" t="s">
        <v>3428</v>
      </c>
    </row>
    <row r="417" spans="1:3" x14ac:dyDescent="0.2">
      <c r="A417" s="19" t="s">
        <v>3429</v>
      </c>
      <c r="B417" s="19" t="s">
        <v>3430</v>
      </c>
      <c r="C417" s="15" t="s">
        <v>3428</v>
      </c>
    </row>
    <row r="418" spans="1:3" x14ac:dyDescent="0.2">
      <c r="A418" s="19" t="s">
        <v>3431</v>
      </c>
      <c r="B418" s="19" t="s">
        <v>3431</v>
      </c>
      <c r="C418" s="15" t="s">
        <v>3432</v>
      </c>
    </row>
    <row r="419" spans="1:3" x14ac:dyDescent="0.2">
      <c r="A419" s="19" t="s">
        <v>3433</v>
      </c>
      <c r="B419" s="19" t="s">
        <v>3434</v>
      </c>
      <c r="C419" s="15" t="s">
        <v>3432</v>
      </c>
    </row>
    <row r="420" spans="1:3" x14ac:dyDescent="0.2">
      <c r="A420" s="19" t="s">
        <v>3435</v>
      </c>
      <c r="B420" s="19" t="s">
        <v>3435</v>
      </c>
      <c r="C420" s="15" t="s">
        <v>3436</v>
      </c>
    </row>
    <row r="421" spans="1:3" x14ac:dyDescent="0.2">
      <c r="A421" s="19" t="s">
        <v>3437</v>
      </c>
      <c r="B421" s="19" t="s">
        <v>3438</v>
      </c>
      <c r="C421" s="15" t="s">
        <v>3436</v>
      </c>
    </row>
    <row r="422" spans="1:3" x14ac:dyDescent="0.2">
      <c r="A422" s="19" t="s">
        <v>3439</v>
      </c>
      <c r="B422" s="19" t="s">
        <v>3439</v>
      </c>
      <c r="C422" s="15" t="s">
        <v>3440</v>
      </c>
    </row>
    <row r="423" spans="1:3" x14ac:dyDescent="0.2">
      <c r="A423" s="19" t="s">
        <v>3441</v>
      </c>
      <c r="B423" s="19" t="s">
        <v>3442</v>
      </c>
      <c r="C423" s="15" t="s">
        <v>3440</v>
      </c>
    </row>
    <row r="424" spans="1:3" x14ac:dyDescent="0.2">
      <c r="A424" s="19" t="s">
        <v>3443</v>
      </c>
      <c r="B424" s="19" t="s">
        <v>3443</v>
      </c>
      <c r="C424" s="15" t="s">
        <v>3444</v>
      </c>
    </row>
    <row r="425" spans="1:3" x14ac:dyDescent="0.2">
      <c r="A425" s="19" t="s">
        <v>3445</v>
      </c>
      <c r="B425" s="19" t="s">
        <v>3446</v>
      </c>
      <c r="C425" s="15" t="s">
        <v>3447</v>
      </c>
    </row>
    <row r="426" spans="1:3" x14ac:dyDescent="0.2">
      <c r="A426" s="19" t="s">
        <v>3448</v>
      </c>
      <c r="B426" s="19" t="s">
        <v>3449</v>
      </c>
      <c r="C426" s="15" t="s">
        <v>3450</v>
      </c>
    </row>
    <row r="427" spans="1:3" x14ac:dyDescent="0.2">
      <c r="A427" s="19" t="s">
        <v>3451</v>
      </c>
      <c r="B427" s="19" t="s">
        <v>3451</v>
      </c>
      <c r="C427" s="15" t="s">
        <v>3452</v>
      </c>
    </row>
    <row r="428" spans="1:3" x14ac:dyDescent="0.2">
      <c r="A428" s="19" t="s">
        <v>3453</v>
      </c>
      <c r="B428" s="19" t="s">
        <v>3453</v>
      </c>
      <c r="C428" s="15" t="s">
        <v>3454</v>
      </c>
    </row>
    <row r="429" spans="1:3" x14ac:dyDescent="0.2">
      <c r="A429" s="19" t="s">
        <v>3455</v>
      </c>
      <c r="B429" s="19" t="s">
        <v>3456</v>
      </c>
      <c r="C429" s="15" t="s">
        <v>3457</v>
      </c>
    </row>
    <row r="430" spans="1:3" x14ac:dyDescent="0.2">
      <c r="A430" s="19" t="s">
        <v>3458</v>
      </c>
      <c r="B430" s="19" t="s">
        <v>3459</v>
      </c>
      <c r="C430" s="15" t="s">
        <v>3460</v>
      </c>
    </row>
    <row r="431" spans="1:3" x14ac:dyDescent="0.2">
      <c r="A431" s="19" t="s">
        <v>3461</v>
      </c>
      <c r="B431" s="19" t="s">
        <v>3462</v>
      </c>
      <c r="C431" s="15" t="s">
        <v>3463</v>
      </c>
    </row>
    <row r="432" spans="1:3" x14ac:dyDescent="0.2">
      <c r="A432" s="19" t="s">
        <v>3464</v>
      </c>
      <c r="B432" s="19" t="s">
        <v>3465</v>
      </c>
      <c r="C432" s="15" t="s">
        <v>3466</v>
      </c>
    </row>
    <row r="433" spans="1:3" x14ac:dyDescent="0.2">
      <c r="A433" s="19" t="s">
        <v>3467</v>
      </c>
      <c r="B433" s="19" t="s">
        <v>3468</v>
      </c>
      <c r="C433" s="15" t="s">
        <v>3469</v>
      </c>
    </row>
    <row r="434" spans="1:3" x14ac:dyDescent="0.2">
      <c r="A434" s="19" t="s">
        <v>3470</v>
      </c>
      <c r="B434" s="19" t="s">
        <v>3471</v>
      </c>
      <c r="C434" s="15" t="s">
        <v>3472</v>
      </c>
    </row>
    <row r="435" spans="1:3" x14ac:dyDescent="0.2">
      <c r="A435" s="19" t="s">
        <v>3473</v>
      </c>
      <c r="B435" s="19" t="s">
        <v>3474</v>
      </c>
      <c r="C435" s="15" t="s">
        <v>3475</v>
      </c>
    </row>
    <row r="436" spans="1:3" x14ac:dyDescent="0.2">
      <c r="A436" s="19" t="s">
        <v>3476</v>
      </c>
      <c r="B436" s="19" t="s">
        <v>3477</v>
      </c>
      <c r="C436" s="15" t="s">
        <v>3478</v>
      </c>
    </row>
    <row r="437" spans="1:3" x14ac:dyDescent="0.2">
      <c r="A437" s="19" t="s">
        <v>3479</v>
      </c>
      <c r="B437" s="19" t="s">
        <v>3479</v>
      </c>
      <c r="C437" s="15" t="s">
        <v>3480</v>
      </c>
    </row>
    <row r="438" spans="1:3" x14ac:dyDescent="0.2">
      <c r="A438" s="19" t="s">
        <v>3481</v>
      </c>
      <c r="B438" s="19" t="s">
        <v>3482</v>
      </c>
      <c r="C438" s="15" t="s">
        <v>3480</v>
      </c>
    </row>
    <row r="439" spans="1:3" x14ac:dyDescent="0.2">
      <c r="A439" s="19" t="s">
        <v>3483</v>
      </c>
      <c r="B439" s="19" t="s">
        <v>3483</v>
      </c>
      <c r="C439" s="15" t="s">
        <v>3484</v>
      </c>
    </row>
    <row r="440" spans="1:3" x14ac:dyDescent="0.2">
      <c r="A440" s="19" t="s">
        <v>3485</v>
      </c>
      <c r="B440" s="19" t="s">
        <v>3485</v>
      </c>
      <c r="C440" s="15" t="s">
        <v>3484</v>
      </c>
    </row>
    <row r="441" spans="1:3" x14ac:dyDescent="0.2">
      <c r="A441" s="19" t="s">
        <v>3486</v>
      </c>
      <c r="B441" s="19" t="s">
        <v>3486</v>
      </c>
      <c r="C441" s="15" t="s">
        <v>3487</v>
      </c>
    </row>
    <row r="442" spans="1:3" x14ac:dyDescent="0.2">
      <c r="A442" s="19" t="s">
        <v>3488</v>
      </c>
      <c r="B442" s="19" t="s">
        <v>3489</v>
      </c>
      <c r="C442" s="15" t="s">
        <v>3490</v>
      </c>
    </row>
    <row r="443" spans="1:3" x14ac:dyDescent="0.2">
      <c r="A443" s="19" t="s">
        <v>3491</v>
      </c>
      <c r="B443" s="19" t="s">
        <v>3492</v>
      </c>
      <c r="C443" s="15" t="s">
        <v>3493</v>
      </c>
    </row>
    <row r="444" spans="1:3" x14ac:dyDescent="0.2">
      <c r="A444" s="19" t="s">
        <v>3494</v>
      </c>
      <c r="B444" s="19" t="s">
        <v>3495</v>
      </c>
      <c r="C444" s="15" t="s">
        <v>3496</v>
      </c>
    </row>
    <row r="445" spans="1:3" x14ac:dyDescent="0.2">
      <c r="A445" s="19" t="s">
        <v>3497</v>
      </c>
      <c r="B445" s="19" t="s">
        <v>3498</v>
      </c>
      <c r="C445" s="15" t="s">
        <v>3499</v>
      </c>
    </row>
    <row r="446" spans="1:3" x14ac:dyDescent="0.2">
      <c r="A446" s="19" t="s">
        <v>3500</v>
      </c>
      <c r="B446" s="19" t="s">
        <v>3500</v>
      </c>
      <c r="C446" s="15" t="s">
        <v>3501</v>
      </c>
    </row>
    <row r="447" spans="1:3" x14ac:dyDescent="0.2">
      <c r="A447" s="19" t="s">
        <v>3502</v>
      </c>
      <c r="B447" s="19" t="s">
        <v>3503</v>
      </c>
      <c r="C447" s="15" t="s">
        <v>3504</v>
      </c>
    </row>
    <row r="448" spans="1:3" x14ac:dyDescent="0.2">
      <c r="A448" s="19" t="s">
        <v>3505</v>
      </c>
      <c r="B448" s="19" t="s">
        <v>3506</v>
      </c>
      <c r="C448" s="15" t="s">
        <v>3507</v>
      </c>
    </row>
    <row r="449" spans="1:3" x14ac:dyDescent="0.2">
      <c r="A449" s="19" t="s">
        <v>3508</v>
      </c>
      <c r="B449" s="19" t="s">
        <v>3509</v>
      </c>
      <c r="C449" s="15" t="s">
        <v>3510</v>
      </c>
    </row>
    <row r="450" spans="1:3" x14ac:dyDescent="0.2">
      <c r="A450" s="19" t="s">
        <v>3511</v>
      </c>
      <c r="B450" s="19" t="s">
        <v>3511</v>
      </c>
      <c r="C450" s="15" t="s">
        <v>3512</v>
      </c>
    </row>
    <row r="451" spans="1:3" x14ac:dyDescent="0.2">
      <c r="A451" s="19" t="s">
        <v>3513</v>
      </c>
      <c r="B451" s="19" t="s">
        <v>3514</v>
      </c>
      <c r="C451" s="15" t="s">
        <v>3512</v>
      </c>
    </row>
    <row r="452" spans="1:3" x14ac:dyDescent="0.2">
      <c r="A452" s="19" t="s">
        <v>3515</v>
      </c>
      <c r="B452" s="19" t="s">
        <v>3515</v>
      </c>
      <c r="C452" s="15" t="s">
        <v>3516</v>
      </c>
    </row>
    <row r="453" spans="1:3" x14ac:dyDescent="0.2">
      <c r="A453" s="19" t="s">
        <v>3517</v>
      </c>
      <c r="B453" s="19" t="s">
        <v>3517</v>
      </c>
      <c r="C453" s="15" t="s">
        <v>3518</v>
      </c>
    </row>
    <row r="454" spans="1:3" x14ac:dyDescent="0.2">
      <c r="A454" s="19" t="s">
        <v>3519</v>
      </c>
      <c r="B454" s="19" t="s">
        <v>3519</v>
      </c>
      <c r="C454" s="15" t="s">
        <v>3518</v>
      </c>
    </row>
    <row r="455" spans="1:3" x14ac:dyDescent="0.2">
      <c r="A455" s="19" t="s">
        <v>3520</v>
      </c>
      <c r="B455" s="19" t="s">
        <v>3521</v>
      </c>
      <c r="C455" s="15" t="s">
        <v>3518</v>
      </c>
    </row>
    <row r="456" spans="1:3" x14ac:dyDescent="0.2">
      <c r="A456" s="19" t="s">
        <v>3522</v>
      </c>
      <c r="B456" s="19" t="s">
        <v>3522</v>
      </c>
      <c r="C456" s="15" t="s">
        <v>3523</v>
      </c>
    </row>
    <row r="457" spans="1:3" x14ac:dyDescent="0.2">
      <c r="A457" s="19" t="s">
        <v>3524</v>
      </c>
      <c r="B457" s="19" t="s">
        <v>3524</v>
      </c>
      <c r="C457" s="15" t="s">
        <v>3523</v>
      </c>
    </row>
    <row r="458" spans="1:3" x14ac:dyDescent="0.2">
      <c r="A458" s="19" t="s">
        <v>3525</v>
      </c>
      <c r="B458" s="19" t="s">
        <v>3526</v>
      </c>
      <c r="C458" s="15" t="s">
        <v>3523</v>
      </c>
    </row>
    <row r="459" spans="1:3" x14ac:dyDescent="0.2">
      <c r="A459" s="19" t="s">
        <v>3527</v>
      </c>
      <c r="B459" s="19" t="s">
        <v>3527</v>
      </c>
      <c r="C459" s="15" t="s">
        <v>3528</v>
      </c>
    </row>
    <row r="460" spans="1:3" x14ac:dyDescent="0.2">
      <c r="A460" s="19" t="s">
        <v>3529</v>
      </c>
      <c r="B460" s="19" t="s">
        <v>3529</v>
      </c>
      <c r="C460" s="15" t="s">
        <v>3530</v>
      </c>
    </row>
    <row r="461" spans="1:3" x14ac:dyDescent="0.2">
      <c r="A461" s="19" t="s">
        <v>3531</v>
      </c>
      <c r="B461" s="19" t="s">
        <v>3532</v>
      </c>
      <c r="C461" s="15" t="s">
        <v>3533</v>
      </c>
    </row>
    <row r="462" spans="1:3" x14ac:dyDescent="0.2">
      <c r="A462" s="19" t="s">
        <v>3534</v>
      </c>
      <c r="B462" s="19" t="s">
        <v>3535</v>
      </c>
      <c r="C462" s="15" t="s">
        <v>3536</v>
      </c>
    </row>
    <row r="463" spans="1:3" x14ac:dyDescent="0.2">
      <c r="A463" s="19" t="s">
        <v>3537</v>
      </c>
      <c r="B463" s="19" t="s">
        <v>3537</v>
      </c>
      <c r="C463" s="15" t="s">
        <v>3538</v>
      </c>
    </row>
    <row r="464" spans="1:3" x14ac:dyDescent="0.2">
      <c r="A464" s="19" t="s">
        <v>3539</v>
      </c>
      <c r="B464" s="19" t="s">
        <v>3540</v>
      </c>
      <c r="C464" s="15" t="s">
        <v>3541</v>
      </c>
    </row>
    <row r="465" spans="1:3" x14ac:dyDescent="0.2">
      <c r="A465" s="19" t="s">
        <v>3542</v>
      </c>
      <c r="B465" s="19" t="s">
        <v>3543</v>
      </c>
      <c r="C465" s="15" t="s">
        <v>3544</v>
      </c>
    </row>
    <row r="466" spans="1:3" x14ac:dyDescent="0.2">
      <c r="A466" s="19" t="s">
        <v>3545</v>
      </c>
      <c r="B466" s="19" t="s">
        <v>3545</v>
      </c>
      <c r="C466" s="15" t="s">
        <v>3546</v>
      </c>
    </row>
    <row r="467" spans="1:3" x14ac:dyDescent="0.2">
      <c r="A467" s="19" t="s">
        <v>3547</v>
      </c>
      <c r="B467" s="19" t="s">
        <v>3548</v>
      </c>
      <c r="C467" s="15" t="s">
        <v>3549</v>
      </c>
    </row>
    <row r="468" spans="1:3" x14ac:dyDescent="0.2">
      <c r="A468" s="19" t="s">
        <v>3550</v>
      </c>
      <c r="B468" s="19" t="s">
        <v>3551</v>
      </c>
      <c r="C468" s="15" t="s">
        <v>3552</v>
      </c>
    </row>
    <row r="469" spans="1:3" x14ac:dyDescent="0.2">
      <c r="A469" s="19" t="s">
        <v>3553</v>
      </c>
      <c r="B469" s="19" t="s">
        <v>3553</v>
      </c>
      <c r="C469" s="15" t="s">
        <v>3554</v>
      </c>
    </row>
    <row r="470" spans="1:3" x14ac:dyDescent="0.2">
      <c r="A470" s="19" t="s">
        <v>3555</v>
      </c>
      <c r="B470" s="19" t="s">
        <v>3555</v>
      </c>
      <c r="C470" s="15" t="s">
        <v>3554</v>
      </c>
    </row>
    <row r="471" spans="1:3" x14ac:dyDescent="0.2">
      <c r="A471" s="19" t="s">
        <v>3556</v>
      </c>
      <c r="B471" s="19" t="s">
        <v>3557</v>
      </c>
      <c r="C471" s="15" t="s">
        <v>3554</v>
      </c>
    </row>
    <row r="472" spans="1:3" x14ac:dyDescent="0.2">
      <c r="A472" s="19" t="s">
        <v>3558</v>
      </c>
      <c r="B472" s="19" t="s">
        <v>3558</v>
      </c>
      <c r="C472" s="15" t="s">
        <v>3559</v>
      </c>
    </row>
    <row r="473" spans="1:3" x14ac:dyDescent="0.2">
      <c r="A473" s="19" t="s">
        <v>3560</v>
      </c>
      <c r="B473" s="19" t="s">
        <v>3560</v>
      </c>
      <c r="C473" s="15" t="s">
        <v>3561</v>
      </c>
    </row>
    <row r="474" spans="1:3" x14ac:dyDescent="0.2">
      <c r="A474" s="19" t="s">
        <v>3562</v>
      </c>
      <c r="B474" s="19" t="s">
        <v>3562</v>
      </c>
      <c r="C474" s="15" t="s">
        <v>3563</v>
      </c>
    </row>
    <row r="475" spans="1:3" x14ac:dyDescent="0.2">
      <c r="A475" s="19" t="s">
        <v>3564</v>
      </c>
      <c r="B475" s="19" t="s">
        <v>3565</v>
      </c>
      <c r="C475" s="15" t="s">
        <v>3563</v>
      </c>
    </row>
    <row r="476" spans="1:3" x14ac:dyDescent="0.2">
      <c r="A476" s="19" t="s">
        <v>3566</v>
      </c>
      <c r="B476" s="19" t="s">
        <v>3566</v>
      </c>
      <c r="C476" s="15" t="s">
        <v>3567</v>
      </c>
    </row>
    <row r="477" spans="1:3" x14ac:dyDescent="0.2">
      <c r="A477" s="19" t="s">
        <v>3568</v>
      </c>
      <c r="B477" s="19" t="s">
        <v>3569</v>
      </c>
      <c r="C477" s="15" t="s">
        <v>3567</v>
      </c>
    </row>
    <row r="478" spans="1:3" x14ac:dyDescent="0.2">
      <c r="A478" s="19" t="s">
        <v>3570</v>
      </c>
      <c r="B478" s="19" t="s">
        <v>3570</v>
      </c>
      <c r="C478" s="15" t="s">
        <v>3571</v>
      </c>
    </row>
    <row r="479" spans="1:3" x14ac:dyDescent="0.2">
      <c r="A479" s="19" t="s">
        <v>3572</v>
      </c>
      <c r="B479" s="19" t="s">
        <v>3572</v>
      </c>
      <c r="C479" s="15" t="s">
        <v>3573</v>
      </c>
    </row>
    <row r="480" spans="1:3" x14ac:dyDescent="0.2">
      <c r="A480" s="19" t="s">
        <v>3574</v>
      </c>
      <c r="B480" s="19" t="s">
        <v>3575</v>
      </c>
      <c r="C480" s="15" t="s">
        <v>3576</v>
      </c>
    </row>
    <row r="481" spans="1:3" x14ac:dyDescent="0.2">
      <c r="A481" s="19" t="s">
        <v>3577</v>
      </c>
      <c r="B481" s="19" t="s">
        <v>3578</v>
      </c>
      <c r="C481" s="15" t="s">
        <v>3579</v>
      </c>
    </row>
    <row r="482" spans="1:3" x14ac:dyDescent="0.2">
      <c r="A482" s="19" t="s">
        <v>3580</v>
      </c>
      <c r="B482" s="19" t="s">
        <v>3581</v>
      </c>
      <c r="C482" s="15" t="s">
        <v>3582</v>
      </c>
    </row>
    <row r="483" spans="1:3" x14ac:dyDescent="0.2">
      <c r="A483" s="19" t="s">
        <v>3583</v>
      </c>
      <c r="B483" s="19" t="s">
        <v>3583</v>
      </c>
      <c r="C483" s="15" t="s">
        <v>3584</v>
      </c>
    </row>
    <row r="484" spans="1:3" x14ac:dyDescent="0.2">
      <c r="A484" s="19" t="s">
        <v>3585</v>
      </c>
      <c r="B484" s="19" t="s">
        <v>3586</v>
      </c>
      <c r="C484" s="15" t="s">
        <v>3587</v>
      </c>
    </row>
    <row r="485" spans="1:3" x14ac:dyDescent="0.2">
      <c r="A485" s="19" t="s">
        <v>3588</v>
      </c>
      <c r="B485" s="19" t="s">
        <v>3589</v>
      </c>
      <c r="C485" s="15" t="s">
        <v>3590</v>
      </c>
    </row>
    <row r="486" spans="1:3" x14ac:dyDescent="0.2">
      <c r="A486" s="19" t="s">
        <v>3591</v>
      </c>
      <c r="B486" s="19" t="s">
        <v>3591</v>
      </c>
      <c r="C486" s="15" t="s">
        <v>3592</v>
      </c>
    </row>
    <row r="487" spans="1:3" x14ac:dyDescent="0.2">
      <c r="A487" s="19" t="s">
        <v>3593</v>
      </c>
      <c r="B487" s="19" t="s">
        <v>3594</v>
      </c>
      <c r="C487" s="15" t="s">
        <v>3595</v>
      </c>
    </row>
    <row r="488" spans="1:3" x14ac:dyDescent="0.2">
      <c r="A488" s="19" t="s">
        <v>3596</v>
      </c>
      <c r="B488" s="19" t="s">
        <v>3597</v>
      </c>
      <c r="C488" s="15" t="s">
        <v>3598</v>
      </c>
    </row>
    <row r="489" spans="1:3" x14ac:dyDescent="0.2">
      <c r="A489" s="19" t="s">
        <v>3599</v>
      </c>
      <c r="B489" s="19" t="s">
        <v>3599</v>
      </c>
      <c r="C489" s="15" t="s">
        <v>3600</v>
      </c>
    </row>
    <row r="490" spans="1:3" x14ac:dyDescent="0.2">
      <c r="A490" s="19" t="s">
        <v>3601</v>
      </c>
      <c r="B490" s="19" t="s">
        <v>3601</v>
      </c>
      <c r="C490" s="15" t="s">
        <v>3602</v>
      </c>
    </row>
    <row r="491" spans="1:3" x14ac:dyDescent="0.2">
      <c r="A491" s="19" t="s">
        <v>3603</v>
      </c>
      <c r="B491" s="19" t="s">
        <v>3604</v>
      </c>
      <c r="C491" s="15" t="s">
        <v>3605</v>
      </c>
    </row>
    <row r="492" spans="1:3" x14ac:dyDescent="0.2">
      <c r="A492" s="19" t="s">
        <v>3606</v>
      </c>
      <c r="B492" s="19" t="s">
        <v>3607</v>
      </c>
      <c r="C492" s="15" t="s">
        <v>3608</v>
      </c>
    </row>
    <row r="493" spans="1:3" x14ac:dyDescent="0.2">
      <c r="A493" s="19" t="s">
        <v>3609</v>
      </c>
      <c r="B493" s="19" t="s">
        <v>3610</v>
      </c>
      <c r="C493" s="15" t="s">
        <v>3611</v>
      </c>
    </row>
    <row r="494" spans="1:3" x14ac:dyDescent="0.2">
      <c r="A494" s="19" t="s">
        <v>3612</v>
      </c>
      <c r="B494" s="19" t="s">
        <v>3612</v>
      </c>
      <c r="C494" s="15" t="s">
        <v>3613</v>
      </c>
    </row>
    <row r="495" spans="1:3" x14ac:dyDescent="0.2">
      <c r="A495" s="19" t="s">
        <v>3614</v>
      </c>
      <c r="B495" s="19" t="s">
        <v>3615</v>
      </c>
      <c r="C495" s="15" t="s">
        <v>3616</v>
      </c>
    </row>
    <row r="496" spans="1:3" x14ac:dyDescent="0.2">
      <c r="A496" s="19" t="s">
        <v>3617</v>
      </c>
      <c r="B496" s="19" t="s">
        <v>3618</v>
      </c>
      <c r="C496" s="15" t="s">
        <v>3619</v>
      </c>
    </row>
    <row r="497" spans="1:3" x14ac:dyDescent="0.2">
      <c r="A497" s="19" t="s">
        <v>3620</v>
      </c>
      <c r="B497" s="19" t="s">
        <v>3621</v>
      </c>
      <c r="C497" s="15" t="s">
        <v>3622</v>
      </c>
    </row>
    <row r="498" spans="1:3" x14ac:dyDescent="0.2">
      <c r="A498" s="19" t="s">
        <v>3623</v>
      </c>
      <c r="B498" s="19" t="s">
        <v>3623</v>
      </c>
      <c r="C498" s="15" t="s">
        <v>3624</v>
      </c>
    </row>
    <row r="499" spans="1:3" x14ac:dyDescent="0.2">
      <c r="A499" s="19" t="s">
        <v>3625</v>
      </c>
      <c r="B499" s="19" t="s">
        <v>3626</v>
      </c>
      <c r="C499" s="15" t="s">
        <v>3627</v>
      </c>
    </row>
    <row r="500" spans="1:3" x14ac:dyDescent="0.2">
      <c r="A500" s="19" t="s">
        <v>3628</v>
      </c>
      <c r="B500" s="19" t="s">
        <v>3629</v>
      </c>
      <c r="C500" s="15" t="s">
        <v>3630</v>
      </c>
    </row>
    <row r="501" spans="1:3" x14ac:dyDescent="0.2">
      <c r="A501" s="19" t="s">
        <v>3631</v>
      </c>
      <c r="B501" s="19" t="s">
        <v>3632</v>
      </c>
      <c r="C501" s="15" t="s">
        <v>3633</v>
      </c>
    </row>
    <row r="502" spans="1:3" x14ac:dyDescent="0.2">
      <c r="A502" s="19" t="s">
        <v>3634</v>
      </c>
      <c r="B502" s="19" t="s">
        <v>3635</v>
      </c>
      <c r="C502" s="15" t="s">
        <v>3636</v>
      </c>
    </row>
    <row r="503" spans="1:3" x14ac:dyDescent="0.2">
      <c r="A503" s="19" t="s">
        <v>3637</v>
      </c>
      <c r="B503" s="19" t="s">
        <v>3638</v>
      </c>
      <c r="C503" s="15" t="s">
        <v>3639</v>
      </c>
    </row>
    <row r="504" spans="1:3" x14ac:dyDescent="0.2">
      <c r="A504" s="19" t="s">
        <v>3640</v>
      </c>
      <c r="B504" s="19" t="s">
        <v>3640</v>
      </c>
      <c r="C504" s="15" t="s">
        <v>3641</v>
      </c>
    </row>
    <row r="505" spans="1:3" x14ac:dyDescent="0.2">
      <c r="A505" s="19" t="s">
        <v>3642</v>
      </c>
      <c r="B505" s="19" t="s">
        <v>3643</v>
      </c>
      <c r="C505" s="15" t="s">
        <v>3644</v>
      </c>
    </row>
    <row r="506" spans="1:3" x14ac:dyDescent="0.2">
      <c r="A506" s="19" t="s">
        <v>3645</v>
      </c>
      <c r="B506" s="19" t="s">
        <v>3646</v>
      </c>
      <c r="C506" s="15" t="s">
        <v>3647</v>
      </c>
    </row>
    <row r="507" spans="1:3" x14ac:dyDescent="0.2">
      <c r="A507" s="19" t="s">
        <v>3648</v>
      </c>
      <c r="B507" s="19" t="s">
        <v>3648</v>
      </c>
      <c r="C507" s="15" t="s">
        <v>3649</v>
      </c>
    </row>
    <row r="508" spans="1:3" x14ac:dyDescent="0.2">
      <c r="A508" s="19" t="s">
        <v>3650</v>
      </c>
      <c r="B508" s="19" t="s">
        <v>3650</v>
      </c>
      <c r="C508" s="15" t="s">
        <v>3651</v>
      </c>
    </row>
    <row r="509" spans="1:3" x14ac:dyDescent="0.2">
      <c r="A509" s="19" t="s">
        <v>3652</v>
      </c>
      <c r="B509" s="19" t="s">
        <v>3652</v>
      </c>
      <c r="C509" s="15" t="s">
        <v>3653</v>
      </c>
    </row>
    <row r="510" spans="1:3" x14ac:dyDescent="0.2">
      <c r="A510" s="19" t="s">
        <v>3654</v>
      </c>
      <c r="B510" s="19" t="s">
        <v>3655</v>
      </c>
      <c r="C510" s="15" t="s">
        <v>3656</v>
      </c>
    </row>
    <row r="511" spans="1:3" x14ac:dyDescent="0.2">
      <c r="A511" s="19" t="s">
        <v>3657</v>
      </c>
      <c r="B511" s="19" t="s">
        <v>3658</v>
      </c>
      <c r="C511" s="15" t="s">
        <v>3659</v>
      </c>
    </row>
    <row r="512" spans="1:3" x14ac:dyDescent="0.2">
      <c r="A512" s="19" t="s">
        <v>3660</v>
      </c>
      <c r="B512" s="19" t="s">
        <v>3660</v>
      </c>
      <c r="C512" s="15" t="s">
        <v>3661</v>
      </c>
    </row>
    <row r="513" spans="1:3" x14ac:dyDescent="0.2">
      <c r="A513" s="19" t="s">
        <v>3662</v>
      </c>
      <c r="B513" s="19" t="s">
        <v>3663</v>
      </c>
      <c r="C513" s="15" t="s">
        <v>3661</v>
      </c>
    </row>
    <row r="514" spans="1:3" x14ac:dyDescent="0.2">
      <c r="A514" s="19" t="s">
        <v>3664</v>
      </c>
      <c r="B514" s="19" t="s">
        <v>3664</v>
      </c>
      <c r="C514" s="15" t="s">
        <v>3665</v>
      </c>
    </row>
    <row r="515" spans="1:3" x14ac:dyDescent="0.2">
      <c r="A515" s="19" t="s">
        <v>3666</v>
      </c>
      <c r="B515" s="19" t="s">
        <v>3667</v>
      </c>
      <c r="C515" s="15" t="s">
        <v>3668</v>
      </c>
    </row>
    <row r="516" spans="1:3" x14ac:dyDescent="0.2">
      <c r="A516" s="19" t="s">
        <v>3669</v>
      </c>
      <c r="B516" s="19" t="s">
        <v>3670</v>
      </c>
      <c r="C516" s="15" t="s">
        <v>3671</v>
      </c>
    </row>
    <row r="517" spans="1:3" x14ac:dyDescent="0.2">
      <c r="A517" s="19" t="s">
        <v>3672</v>
      </c>
      <c r="B517" s="19" t="s">
        <v>3672</v>
      </c>
      <c r="C517" s="15" t="s">
        <v>3673</v>
      </c>
    </row>
    <row r="518" spans="1:3" x14ac:dyDescent="0.2">
      <c r="A518" s="19" t="s">
        <v>3674</v>
      </c>
      <c r="B518" s="19" t="s">
        <v>3675</v>
      </c>
      <c r="C518" s="15" t="s">
        <v>3673</v>
      </c>
    </row>
    <row r="519" spans="1:3" x14ac:dyDescent="0.2">
      <c r="A519" s="19" t="s">
        <v>3676</v>
      </c>
      <c r="B519" s="19" t="s">
        <v>3676</v>
      </c>
      <c r="C519" s="15" t="s">
        <v>3677</v>
      </c>
    </row>
    <row r="520" spans="1:3" x14ac:dyDescent="0.2">
      <c r="A520" s="19" t="s">
        <v>3678</v>
      </c>
      <c r="B520" s="19" t="s">
        <v>3678</v>
      </c>
      <c r="C520" s="15" t="s">
        <v>3679</v>
      </c>
    </row>
    <row r="521" spans="1:3" x14ac:dyDescent="0.2">
      <c r="A521" s="19" t="s">
        <v>3680</v>
      </c>
      <c r="B521" s="19" t="s">
        <v>3681</v>
      </c>
      <c r="C521" s="15" t="s">
        <v>3682</v>
      </c>
    </row>
    <row r="522" spans="1:3" x14ac:dyDescent="0.2">
      <c r="A522" s="19" t="s">
        <v>3683</v>
      </c>
      <c r="B522" s="19" t="s">
        <v>3684</v>
      </c>
      <c r="C522" s="15" t="s">
        <v>3685</v>
      </c>
    </row>
    <row r="523" spans="1:3" x14ac:dyDescent="0.2">
      <c r="A523" s="19" t="s">
        <v>3686</v>
      </c>
      <c r="B523" s="19" t="s">
        <v>3687</v>
      </c>
      <c r="C523" s="15" t="s">
        <v>3688</v>
      </c>
    </row>
    <row r="524" spans="1:3" x14ac:dyDescent="0.2">
      <c r="A524" s="19" t="s">
        <v>3689</v>
      </c>
      <c r="B524" s="19" t="s">
        <v>3690</v>
      </c>
      <c r="C524" s="15" t="s">
        <v>3691</v>
      </c>
    </row>
    <row r="525" spans="1:3" x14ac:dyDescent="0.2">
      <c r="A525" s="19" t="s">
        <v>3692</v>
      </c>
      <c r="B525" s="19" t="s">
        <v>3693</v>
      </c>
      <c r="C525" s="15" t="s">
        <v>3694</v>
      </c>
    </row>
    <row r="526" spans="1:3" x14ac:dyDescent="0.2">
      <c r="A526" s="19" t="s">
        <v>3695</v>
      </c>
      <c r="B526" s="19" t="s">
        <v>3696</v>
      </c>
      <c r="C526" s="15" t="s">
        <v>3697</v>
      </c>
    </row>
    <row r="527" spans="1:3" x14ac:dyDescent="0.2">
      <c r="A527" s="19" t="s">
        <v>3698</v>
      </c>
      <c r="B527" s="19" t="s">
        <v>3699</v>
      </c>
      <c r="C527" s="15" t="s">
        <v>3700</v>
      </c>
    </row>
    <row r="528" spans="1:3" x14ac:dyDescent="0.2">
      <c r="A528" s="19" t="s">
        <v>3701</v>
      </c>
      <c r="B528" s="19" t="s">
        <v>3702</v>
      </c>
      <c r="C528" s="15" t="s">
        <v>3703</v>
      </c>
    </row>
    <row r="529" spans="1:3" x14ac:dyDescent="0.2">
      <c r="A529" s="19" t="s">
        <v>3704</v>
      </c>
      <c r="B529" s="19" t="s">
        <v>3705</v>
      </c>
      <c r="C529" s="15" t="s">
        <v>3706</v>
      </c>
    </row>
    <row r="530" spans="1:3" x14ac:dyDescent="0.2">
      <c r="A530" s="19" t="s">
        <v>3707</v>
      </c>
      <c r="B530" s="19" t="s">
        <v>3707</v>
      </c>
      <c r="C530" s="15" t="s">
        <v>3708</v>
      </c>
    </row>
    <row r="531" spans="1:3" x14ac:dyDescent="0.2">
      <c r="A531" s="19" t="s">
        <v>3709</v>
      </c>
      <c r="B531" s="19" t="s">
        <v>3710</v>
      </c>
      <c r="C531" s="15" t="s">
        <v>3711</v>
      </c>
    </row>
    <row r="532" spans="1:3" x14ac:dyDescent="0.2">
      <c r="A532" s="19" t="s">
        <v>3712</v>
      </c>
      <c r="B532" s="19" t="s">
        <v>3713</v>
      </c>
      <c r="C532" s="15" t="s">
        <v>3714</v>
      </c>
    </row>
    <row r="533" spans="1:3" x14ac:dyDescent="0.2">
      <c r="A533" s="19" t="s">
        <v>3715</v>
      </c>
      <c r="B533" s="19" t="s">
        <v>3716</v>
      </c>
      <c r="C533" s="15" t="s">
        <v>3717</v>
      </c>
    </row>
    <row r="534" spans="1:3" x14ac:dyDescent="0.2">
      <c r="A534" s="19" t="s">
        <v>3718</v>
      </c>
      <c r="B534" s="19" t="s">
        <v>3719</v>
      </c>
      <c r="C534" s="15" t="s">
        <v>3720</v>
      </c>
    </row>
    <row r="535" spans="1:3" x14ac:dyDescent="0.2">
      <c r="A535" s="19" t="s">
        <v>3721</v>
      </c>
      <c r="B535" s="19" t="s">
        <v>3721</v>
      </c>
      <c r="C535" s="15" t="s">
        <v>3722</v>
      </c>
    </row>
    <row r="536" spans="1:3" x14ac:dyDescent="0.2">
      <c r="A536" s="19" t="s">
        <v>3723</v>
      </c>
      <c r="B536" s="19" t="s">
        <v>3724</v>
      </c>
      <c r="C536" s="15" t="s">
        <v>3725</v>
      </c>
    </row>
    <row r="537" spans="1:3" x14ac:dyDescent="0.2">
      <c r="A537" s="19" t="s">
        <v>3726</v>
      </c>
      <c r="B537" s="19" t="s">
        <v>3727</v>
      </c>
      <c r="C537" s="15" t="s">
        <v>3728</v>
      </c>
    </row>
    <row r="538" spans="1:3" x14ac:dyDescent="0.2">
      <c r="A538" s="19" t="s">
        <v>3729</v>
      </c>
      <c r="B538" s="19" t="s">
        <v>3730</v>
      </c>
      <c r="C538" s="15" t="s">
        <v>3731</v>
      </c>
    </row>
    <row r="539" spans="1:3" x14ac:dyDescent="0.2">
      <c r="A539" s="19" t="s">
        <v>3732</v>
      </c>
      <c r="B539" s="19" t="s">
        <v>3733</v>
      </c>
      <c r="C539" s="15" t="s">
        <v>3734</v>
      </c>
    </row>
    <row r="540" spans="1:3" x14ac:dyDescent="0.2">
      <c r="A540" s="19" t="s">
        <v>3735</v>
      </c>
      <c r="B540" s="19" t="s">
        <v>3736</v>
      </c>
      <c r="C540" s="15" t="s">
        <v>3737</v>
      </c>
    </row>
    <row r="541" spans="1:3" x14ac:dyDescent="0.2">
      <c r="A541" s="19" t="s">
        <v>3738</v>
      </c>
      <c r="B541" s="19" t="s">
        <v>3739</v>
      </c>
      <c r="C541" s="15" t="s">
        <v>3740</v>
      </c>
    </row>
    <row r="542" spans="1:3" x14ac:dyDescent="0.2">
      <c r="A542" s="19" t="s">
        <v>3741</v>
      </c>
      <c r="B542" s="19" t="s">
        <v>3742</v>
      </c>
      <c r="C542" s="15" t="s">
        <v>3743</v>
      </c>
    </row>
    <row r="543" spans="1:3" x14ac:dyDescent="0.2">
      <c r="A543" s="19" t="s">
        <v>3744</v>
      </c>
      <c r="B543" s="19" t="s">
        <v>3745</v>
      </c>
      <c r="C543" s="15" t="s">
        <v>3746</v>
      </c>
    </row>
    <row r="544" spans="1:3" x14ac:dyDescent="0.2">
      <c r="A544" s="19" t="s">
        <v>3747</v>
      </c>
      <c r="B544" s="19" t="s">
        <v>3748</v>
      </c>
      <c r="C544" s="15" t="s">
        <v>3749</v>
      </c>
    </row>
    <row r="545" spans="1:3" x14ac:dyDescent="0.2">
      <c r="A545" s="19" t="s">
        <v>3750</v>
      </c>
      <c r="B545" s="19" t="s">
        <v>3750</v>
      </c>
      <c r="C545" s="15" t="s">
        <v>3751</v>
      </c>
    </row>
    <row r="546" spans="1:3" x14ac:dyDescent="0.2">
      <c r="A546" s="19" t="s">
        <v>3752</v>
      </c>
      <c r="B546" s="19" t="s">
        <v>3753</v>
      </c>
      <c r="C546" s="15" t="s">
        <v>3754</v>
      </c>
    </row>
    <row r="547" spans="1:3" x14ac:dyDescent="0.2">
      <c r="A547" s="19" t="s">
        <v>3755</v>
      </c>
      <c r="B547" s="19" t="s">
        <v>3756</v>
      </c>
      <c r="C547" s="15" t="s">
        <v>3757</v>
      </c>
    </row>
    <row r="548" spans="1:3" x14ac:dyDescent="0.2">
      <c r="A548" s="19" t="s">
        <v>3758</v>
      </c>
      <c r="B548" s="19" t="s">
        <v>3759</v>
      </c>
      <c r="C548" s="15" t="s">
        <v>3760</v>
      </c>
    </row>
    <row r="549" spans="1:3" x14ac:dyDescent="0.2">
      <c r="A549" s="19" t="s">
        <v>3761</v>
      </c>
      <c r="B549" s="19" t="s">
        <v>3762</v>
      </c>
      <c r="C549" s="15" t="s">
        <v>3763</v>
      </c>
    </row>
    <row r="550" spans="1:3" x14ac:dyDescent="0.2">
      <c r="A550" s="19" t="s">
        <v>3764</v>
      </c>
      <c r="B550" s="19" t="s">
        <v>3765</v>
      </c>
      <c r="C550" s="15" t="s">
        <v>3766</v>
      </c>
    </row>
    <row r="551" spans="1:3" x14ac:dyDescent="0.2">
      <c r="A551" s="19" t="s">
        <v>3767</v>
      </c>
      <c r="B551" s="19" t="s">
        <v>3768</v>
      </c>
      <c r="C551" s="15" t="s">
        <v>3769</v>
      </c>
    </row>
    <row r="552" spans="1:3" x14ac:dyDescent="0.2">
      <c r="A552" s="19" t="s">
        <v>3770</v>
      </c>
      <c r="B552" s="19" t="s">
        <v>3771</v>
      </c>
      <c r="C552" s="15" t="s">
        <v>3772</v>
      </c>
    </row>
    <row r="553" spans="1:3" x14ac:dyDescent="0.2">
      <c r="A553" s="19" t="s">
        <v>3773</v>
      </c>
      <c r="B553" s="19" t="s">
        <v>3774</v>
      </c>
      <c r="C553" s="15" t="s">
        <v>3775</v>
      </c>
    </row>
    <row r="554" spans="1:3" x14ac:dyDescent="0.2">
      <c r="A554" s="19" t="s">
        <v>3776</v>
      </c>
      <c r="B554" s="19" t="s">
        <v>3777</v>
      </c>
      <c r="C554" s="15" t="s">
        <v>3778</v>
      </c>
    </row>
    <row r="555" spans="1:3" x14ac:dyDescent="0.2">
      <c r="A555" s="19" t="s">
        <v>3779</v>
      </c>
      <c r="B555" s="19" t="s">
        <v>3779</v>
      </c>
      <c r="C555" s="15" t="s">
        <v>3780</v>
      </c>
    </row>
    <row r="556" spans="1:3" x14ac:dyDescent="0.2">
      <c r="A556" s="19" t="s">
        <v>3781</v>
      </c>
      <c r="B556" s="19" t="s">
        <v>3782</v>
      </c>
      <c r="C556" s="15" t="s">
        <v>3783</v>
      </c>
    </row>
    <row r="557" spans="1:3" x14ac:dyDescent="0.2">
      <c r="A557" s="19" t="s">
        <v>3784</v>
      </c>
      <c r="B557" s="19" t="s">
        <v>3785</v>
      </c>
      <c r="C557" s="15" t="s">
        <v>3786</v>
      </c>
    </row>
    <row r="558" spans="1:3" x14ac:dyDescent="0.2">
      <c r="A558" s="19" t="s">
        <v>3787</v>
      </c>
      <c r="B558" s="19" t="s">
        <v>3787</v>
      </c>
      <c r="C558" s="15" t="s">
        <v>3788</v>
      </c>
    </row>
    <row r="559" spans="1:3" x14ac:dyDescent="0.2">
      <c r="A559" s="19" t="s">
        <v>3789</v>
      </c>
      <c r="B559" s="19" t="s">
        <v>3790</v>
      </c>
      <c r="C559" s="15" t="s">
        <v>3791</v>
      </c>
    </row>
    <row r="560" spans="1:3" x14ac:dyDescent="0.2">
      <c r="A560" s="19" t="s">
        <v>3792</v>
      </c>
      <c r="B560" s="19" t="s">
        <v>3793</v>
      </c>
      <c r="C560" s="15" t="s">
        <v>3794</v>
      </c>
    </row>
    <row r="561" spans="1:3" x14ac:dyDescent="0.2">
      <c r="A561" s="19" t="s">
        <v>3795</v>
      </c>
      <c r="B561" s="19" t="s">
        <v>3796</v>
      </c>
      <c r="C561" s="15" t="s">
        <v>3797</v>
      </c>
    </row>
    <row r="562" spans="1:3" x14ac:dyDescent="0.2">
      <c r="A562" s="19" t="s">
        <v>3798</v>
      </c>
      <c r="B562" s="19" t="s">
        <v>3799</v>
      </c>
      <c r="C562" s="15" t="s">
        <v>3800</v>
      </c>
    </row>
    <row r="563" spans="1:3" x14ac:dyDescent="0.2">
      <c r="A563" s="19" t="s">
        <v>3801</v>
      </c>
      <c r="B563" s="19" t="s">
        <v>3802</v>
      </c>
      <c r="C563" s="15" t="s">
        <v>3803</v>
      </c>
    </row>
    <row r="564" spans="1:3" x14ac:dyDescent="0.2">
      <c r="A564" s="19" t="s">
        <v>3804</v>
      </c>
      <c r="B564" s="19" t="s">
        <v>3805</v>
      </c>
      <c r="C564" s="15" t="s">
        <v>3806</v>
      </c>
    </row>
    <row r="565" spans="1:3" x14ac:dyDescent="0.2">
      <c r="A565" s="19" t="s">
        <v>3807</v>
      </c>
      <c r="B565" s="19" t="s">
        <v>3808</v>
      </c>
      <c r="C565" s="15" t="s">
        <v>3809</v>
      </c>
    </row>
    <row r="566" spans="1:3" x14ac:dyDescent="0.2">
      <c r="A566" s="19" t="s">
        <v>3810</v>
      </c>
      <c r="B566" s="19" t="s">
        <v>3810</v>
      </c>
      <c r="C566" s="15" t="s">
        <v>3811</v>
      </c>
    </row>
    <row r="567" spans="1:3" x14ac:dyDescent="0.2">
      <c r="A567" s="19" t="s">
        <v>3812</v>
      </c>
      <c r="B567" s="19" t="s">
        <v>3813</v>
      </c>
      <c r="C567" s="15" t="s">
        <v>3814</v>
      </c>
    </row>
    <row r="568" spans="1:3" x14ac:dyDescent="0.2">
      <c r="A568" s="19" t="s">
        <v>3815</v>
      </c>
      <c r="B568" s="19" t="s">
        <v>3816</v>
      </c>
      <c r="C568" s="15" t="s">
        <v>3817</v>
      </c>
    </row>
    <row r="569" spans="1:3" x14ac:dyDescent="0.2">
      <c r="A569" s="19" t="s">
        <v>3818</v>
      </c>
      <c r="B569" s="19" t="s">
        <v>3819</v>
      </c>
      <c r="C569" s="15" t="s">
        <v>3820</v>
      </c>
    </row>
    <row r="570" spans="1:3" x14ac:dyDescent="0.2">
      <c r="A570" s="19" t="s">
        <v>3821</v>
      </c>
      <c r="B570" s="19" t="s">
        <v>3822</v>
      </c>
      <c r="C570" s="15" t="s">
        <v>3823</v>
      </c>
    </row>
    <row r="571" spans="1:3" x14ac:dyDescent="0.2">
      <c r="A571" s="19" t="s">
        <v>3824</v>
      </c>
      <c r="B571" s="19" t="s">
        <v>3825</v>
      </c>
      <c r="C571" s="15" t="s">
        <v>3826</v>
      </c>
    </row>
    <row r="572" spans="1:3" x14ac:dyDescent="0.2">
      <c r="A572" s="19" t="s">
        <v>3827</v>
      </c>
      <c r="B572" s="19" t="s">
        <v>3828</v>
      </c>
      <c r="C572" s="15" t="s">
        <v>3829</v>
      </c>
    </row>
    <row r="573" spans="1:3" x14ac:dyDescent="0.2">
      <c r="A573" s="19" t="s">
        <v>3830</v>
      </c>
      <c r="B573" s="19" t="s">
        <v>3831</v>
      </c>
      <c r="C573" s="15" t="s">
        <v>3832</v>
      </c>
    </row>
    <row r="574" spans="1:3" x14ac:dyDescent="0.2">
      <c r="A574" s="19" t="s">
        <v>3833</v>
      </c>
      <c r="B574" s="19" t="s">
        <v>3833</v>
      </c>
      <c r="C574" s="15" t="s">
        <v>3834</v>
      </c>
    </row>
    <row r="575" spans="1:3" x14ac:dyDescent="0.2">
      <c r="A575" s="19" t="s">
        <v>3835</v>
      </c>
      <c r="B575" s="19" t="s">
        <v>3836</v>
      </c>
      <c r="C575" s="15" t="s">
        <v>3834</v>
      </c>
    </row>
    <row r="576" spans="1:3" x14ac:dyDescent="0.2">
      <c r="A576" s="19" t="s">
        <v>3837</v>
      </c>
      <c r="B576" s="19" t="s">
        <v>3837</v>
      </c>
      <c r="C576" s="15" t="s">
        <v>3838</v>
      </c>
    </row>
    <row r="577" spans="1:3" x14ac:dyDescent="0.2">
      <c r="A577" s="19" t="s">
        <v>3839</v>
      </c>
      <c r="B577" s="19" t="s">
        <v>3839</v>
      </c>
      <c r="C577" s="15" t="s">
        <v>3840</v>
      </c>
    </row>
    <row r="578" spans="1:3" x14ac:dyDescent="0.2">
      <c r="A578" s="19" t="s">
        <v>3841</v>
      </c>
      <c r="B578" s="19" t="s">
        <v>3842</v>
      </c>
      <c r="C578" s="15" t="s">
        <v>3843</v>
      </c>
    </row>
    <row r="579" spans="1:3" x14ac:dyDescent="0.2">
      <c r="A579" s="19" t="s">
        <v>3844</v>
      </c>
      <c r="B579" s="19" t="s">
        <v>3845</v>
      </c>
      <c r="C579" s="15" t="s">
        <v>3846</v>
      </c>
    </row>
    <row r="580" spans="1:3" x14ac:dyDescent="0.2">
      <c r="A580" s="19" t="s">
        <v>3847</v>
      </c>
      <c r="B580" s="19" t="s">
        <v>3847</v>
      </c>
      <c r="C580" s="15" t="s">
        <v>3848</v>
      </c>
    </row>
    <row r="581" spans="1:3" x14ac:dyDescent="0.2">
      <c r="A581" s="19" t="s">
        <v>3849</v>
      </c>
      <c r="B581" s="19" t="s">
        <v>3850</v>
      </c>
      <c r="C581" s="15" t="s">
        <v>3851</v>
      </c>
    </row>
    <row r="582" spans="1:3" x14ac:dyDescent="0.2">
      <c r="A582" s="19" t="s">
        <v>3852</v>
      </c>
      <c r="B582" s="19" t="s">
        <v>3853</v>
      </c>
      <c r="C582" s="15" t="s">
        <v>3854</v>
      </c>
    </row>
    <row r="583" spans="1:3" x14ac:dyDescent="0.2">
      <c r="A583" s="19" t="s">
        <v>3855</v>
      </c>
      <c r="B583" s="19" t="s">
        <v>3856</v>
      </c>
      <c r="C583" s="15" t="s">
        <v>3857</v>
      </c>
    </row>
    <row r="584" spans="1:3" x14ac:dyDescent="0.2">
      <c r="A584" s="19" t="s">
        <v>3858</v>
      </c>
      <c r="B584" s="19" t="s">
        <v>3859</v>
      </c>
      <c r="C584" s="15" t="s">
        <v>3860</v>
      </c>
    </row>
    <row r="585" spans="1:3" x14ac:dyDescent="0.2">
      <c r="A585" s="19" t="s">
        <v>3861</v>
      </c>
      <c r="B585" s="19" t="s">
        <v>3862</v>
      </c>
      <c r="C585" s="15" t="s">
        <v>3863</v>
      </c>
    </row>
    <row r="586" spans="1:3" x14ac:dyDescent="0.2">
      <c r="A586" s="19" t="s">
        <v>3864</v>
      </c>
      <c r="B586" s="19" t="s">
        <v>3865</v>
      </c>
      <c r="C586" s="15" t="s">
        <v>3866</v>
      </c>
    </row>
    <row r="587" spans="1:3" x14ac:dyDescent="0.2">
      <c r="A587" s="19" t="s">
        <v>3867</v>
      </c>
      <c r="B587" s="19" t="s">
        <v>3868</v>
      </c>
      <c r="C587" s="15" t="s">
        <v>3869</v>
      </c>
    </row>
    <row r="588" spans="1:3" x14ac:dyDescent="0.2">
      <c r="A588" s="19" t="s">
        <v>3870</v>
      </c>
      <c r="B588" s="19" t="s">
        <v>3870</v>
      </c>
      <c r="C588" s="15" t="s">
        <v>3871</v>
      </c>
    </row>
    <row r="589" spans="1:3" x14ac:dyDescent="0.2">
      <c r="A589" s="19" t="s">
        <v>3872</v>
      </c>
      <c r="B589" s="19" t="s">
        <v>3873</v>
      </c>
      <c r="C589" s="15" t="s">
        <v>3871</v>
      </c>
    </row>
    <row r="590" spans="1:3" x14ac:dyDescent="0.2">
      <c r="A590" s="19" t="s">
        <v>3874</v>
      </c>
      <c r="B590" s="19" t="s">
        <v>3874</v>
      </c>
      <c r="C590" s="15" t="s">
        <v>3875</v>
      </c>
    </row>
    <row r="591" spans="1:3" x14ac:dyDescent="0.2">
      <c r="A591" s="19" t="s">
        <v>3876</v>
      </c>
      <c r="B591" s="19" t="s">
        <v>3877</v>
      </c>
      <c r="C591" s="15" t="s">
        <v>3878</v>
      </c>
    </row>
    <row r="592" spans="1:3" x14ac:dyDescent="0.2">
      <c r="A592" s="19" t="s">
        <v>3879</v>
      </c>
      <c r="B592" s="19" t="s">
        <v>3880</v>
      </c>
      <c r="C592" s="15" t="s">
        <v>3881</v>
      </c>
    </row>
    <row r="593" spans="1:3" x14ac:dyDescent="0.2">
      <c r="A593" s="19" t="s">
        <v>3882</v>
      </c>
      <c r="B593" s="19" t="s">
        <v>3883</v>
      </c>
      <c r="C593" s="15" t="s">
        <v>3884</v>
      </c>
    </row>
    <row r="594" spans="1:3" x14ac:dyDescent="0.2">
      <c r="A594" s="19" t="s">
        <v>3885</v>
      </c>
      <c r="B594" s="19" t="s">
        <v>3885</v>
      </c>
      <c r="C594" s="15" t="s">
        <v>3886</v>
      </c>
    </row>
    <row r="595" spans="1:3" x14ac:dyDescent="0.2">
      <c r="A595" s="19" t="s">
        <v>3887</v>
      </c>
      <c r="B595" s="19" t="s">
        <v>3888</v>
      </c>
      <c r="C595" s="15" t="s">
        <v>3889</v>
      </c>
    </row>
    <row r="596" spans="1:3" x14ac:dyDescent="0.2">
      <c r="A596" s="19" t="s">
        <v>3890</v>
      </c>
      <c r="B596" s="19" t="s">
        <v>3891</v>
      </c>
      <c r="C596" s="15" t="s">
        <v>3892</v>
      </c>
    </row>
    <row r="597" spans="1:3" x14ac:dyDescent="0.2">
      <c r="A597" s="19" t="s">
        <v>3893</v>
      </c>
      <c r="B597" s="19" t="s">
        <v>3894</v>
      </c>
      <c r="C597" s="15" t="s">
        <v>3895</v>
      </c>
    </row>
    <row r="598" spans="1:3" x14ac:dyDescent="0.2">
      <c r="A598" s="19" t="s">
        <v>3896</v>
      </c>
      <c r="B598" s="19" t="s">
        <v>3897</v>
      </c>
      <c r="C598" s="15" t="s">
        <v>3898</v>
      </c>
    </row>
    <row r="599" spans="1:3" x14ac:dyDescent="0.2">
      <c r="A599" s="19" t="s">
        <v>3899</v>
      </c>
      <c r="B599" s="19" t="s">
        <v>3900</v>
      </c>
      <c r="C599" s="15" t="s">
        <v>3901</v>
      </c>
    </row>
    <row r="600" spans="1:3" x14ac:dyDescent="0.2">
      <c r="A600" s="19" t="s">
        <v>3902</v>
      </c>
      <c r="B600" s="19" t="s">
        <v>3902</v>
      </c>
      <c r="C600" s="15" t="s">
        <v>3903</v>
      </c>
    </row>
    <row r="601" spans="1:3" x14ac:dyDescent="0.2">
      <c r="A601" s="19" t="s">
        <v>3904</v>
      </c>
      <c r="B601" s="19" t="s">
        <v>3905</v>
      </c>
      <c r="C601" s="15" t="s">
        <v>3906</v>
      </c>
    </row>
    <row r="602" spans="1:3" x14ac:dyDescent="0.2">
      <c r="A602" s="19" t="s">
        <v>3907</v>
      </c>
      <c r="B602" s="19" t="s">
        <v>3908</v>
      </c>
      <c r="C602" s="15" t="s">
        <v>3909</v>
      </c>
    </row>
    <row r="603" spans="1:3" x14ac:dyDescent="0.2">
      <c r="A603" s="19" t="s">
        <v>3910</v>
      </c>
      <c r="B603" s="19" t="s">
        <v>3911</v>
      </c>
      <c r="C603" s="15" t="s">
        <v>3912</v>
      </c>
    </row>
    <row r="604" spans="1:3" x14ac:dyDescent="0.2">
      <c r="A604" s="19" t="s">
        <v>3913</v>
      </c>
      <c r="B604" s="19" t="s">
        <v>3914</v>
      </c>
      <c r="C604" s="15" t="s">
        <v>3915</v>
      </c>
    </row>
    <row r="605" spans="1:3" x14ac:dyDescent="0.2">
      <c r="A605" s="19" t="s">
        <v>3916</v>
      </c>
      <c r="B605" s="19" t="s">
        <v>3917</v>
      </c>
      <c r="C605" s="15" t="s">
        <v>3918</v>
      </c>
    </row>
    <row r="606" spans="1:3" x14ac:dyDescent="0.2">
      <c r="A606" s="19" t="s">
        <v>3919</v>
      </c>
      <c r="B606" s="19" t="s">
        <v>3919</v>
      </c>
      <c r="C606" s="15" t="s">
        <v>3920</v>
      </c>
    </row>
    <row r="607" spans="1:3" x14ac:dyDescent="0.2">
      <c r="A607" s="19" t="s">
        <v>3921</v>
      </c>
      <c r="B607" s="19" t="s">
        <v>3922</v>
      </c>
      <c r="C607" s="15" t="s">
        <v>3923</v>
      </c>
    </row>
    <row r="608" spans="1:3" x14ac:dyDescent="0.2">
      <c r="A608" s="19" t="s">
        <v>3924</v>
      </c>
      <c r="B608" s="19" t="s">
        <v>3925</v>
      </c>
      <c r="C608" s="15" t="s">
        <v>3926</v>
      </c>
    </row>
    <row r="609" spans="1:3" x14ac:dyDescent="0.2">
      <c r="A609" s="19" t="s">
        <v>3927</v>
      </c>
      <c r="B609" s="19" t="s">
        <v>3928</v>
      </c>
      <c r="C609" s="15" t="s">
        <v>3929</v>
      </c>
    </row>
    <row r="610" spans="1:3" x14ac:dyDescent="0.2">
      <c r="A610" s="19" t="s">
        <v>3930</v>
      </c>
      <c r="B610" s="19" t="s">
        <v>3931</v>
      </c>
      <c r="C610" s="15" t="s">
        <v>3932</v>
      </c>
    </row>
    <row r="611" spans="1:3" x14ac:dyDescent="0.2">
      <c r="A611" s="19" t="s">
        <v>3933</v>
      </c>
      <c r="B611" s="19" t="s">
        <v>3934</v>
      </c>
      <c r="C611" s="15" t="s">
        <v>3935</v>
      </c>
    </row>
    <row r="612" spans="1:3" x14ac:dyDescent="0.2">
      <c r="A612" s="19" t="s">
        <v>3936</v>
      </c>
      <c r="B612" s="19" t="s">
        <v>3937</v>
      </c>
      <c r="C612" s="15" t="s">
        <v>3938</v>
      </c>
    </row>
    <row r="613" spans="1:3" x14ac:dyDescent="0.2">
      <c r="A613" s="19" t="s">
        <v>3939</v>
      </c>
      <c r="B613" s="19" t="s">
        <v>3940</v>
      </c>
      <c r="C613" s="15" t="s">
        <v>3941</v>
      </c>
    </row>
    <row r="614" spans="1:3" x14ac:dyDescent="0.2">
      <c r="A614" s="19" t="s">
        <v>3942</v>
      </c>
      <c r="B614" s="19" t="s">
        <v>3943</v>
      </c>
      <c r="C614" s="15" t="s">
        <v>3944</v>
      </c>
    </row>
    <row r="615" spans="1:3" x14ac:dyDescent="0.2">
      <c r="A615" s="19" t="s">
        <v>3945</v>
      </c>
      <c r="B615" s="19" t="s">
        <v>3946</v>
      </c>
      <c r="C615" s="15" t="s">
        <v>3947</v>
      </c>
    </row>
    <row r="616" spans="1:3" x14ac:dyDescent="0.2">
      <c r="A616" s="19" t="s">
        <v>3948</v>
      </c>
      <c r="B616" s="19" t="s">
        <v>3948</v>
      </c>
      <c r="C616" s="15" t="s">
        <v>3949</v>
      </c>
    </row>
    <row r="617" spans="1:3" x14ac:dyDescent="0.2">
      <c r="A617" s="19" t="s">
        <v>3950</v>
      </c>
      <c r="B617" s="19" t="s">
        <v>3951</v>
      </c>
      <c r="C617" s="15" t="s">
        <v>3952</v>
      </c>
    </row>
    <row r="618" spans="1:3" x14ac:dyDescent="0.2">
      <c r="A618" s="19" t="s">
        <v>3953</v>
      </c>
      <c r="B618" s="19" t="s">
        <v>3954</v>
      </c>
      <c r="C618" s="15" t="s">
        <v>3955</v>
      </c>
    </row>
    <row r="619" spans="1:3" x14ac:dyDescent="0.2">
      <c r="A619" s="19" t="s">
        <v>3956</v>
      </c>
      <c r="B619" s="19" t="s">
        <v>3957</v>
      </c>
      <c r="C619" s="15" t="s">
        <v>3958</v>
      </c>
    </row>
    <row r="620" spans="1:3" x14ac:dyDescent="0.2">
      <c r="A620" s="19" t="s">
        <v>3959</v>
      </c>
      <c r="B620" s="19" t="s">
        <v>3959</v>
      </c>
      <c r="C620" s="15" t="s">
        <v>3960</v>
      </c>
    </row>
    <row r="621" spans="1:3" x14ac:dyDescent="0.2">
      <c r="A621" s="19" t="s">
        <v>3961</v>
      </c>
      <c r="B621" s="19" t="s">
        <v>3962</v>
      </c>
      <c r="C621" s="15" t="s">
        <v>3963</v>
      </c>
    </row>
    <row r="622" spans="1:3" x14ac:dyDescent="0.2">
      <c r="A622" s="19" t="s">
        <v>3964</v>
      </c>
      <c r="B622" s="19" t="s">
        <v>3965</v>
      </c>
      <c r="C622" s="15" t="s">
        <v>3966</v>
      </c>
    </row>
    <row r="623" spans="1:3" x14ac:dyDescent="0.2">
      <c r="A623" s="19" t="s">
        <v>3967</v>
      </c>
      <c r="B623" s="19" t="s">
        <v>3967</v>
      </c>
      <c r="C623" s="15" t="s">
        <v>3968</v>
      </c>
    </row>
    <row r="624" spans="1:3" x14ac:dyDescent="0.2">
      <c r="A624" s="19" t="s">
        <v>3969</v>
      </c>
      <c r="B624" s="19" t="s">
        <v>3969</v>
      </c>
      <c r="C624" s="15" t="s">
        <v>3970</v>
      </c>
    </row>
    <row r="625" spans="1:3" x14ac:dyDescent="0.2">
      <c r="A625" s="19" t="s">
        <v>3971</v>
      </c>
      <c r="B625" s="19" t="s">
        <v>3971</v>
      </c>
      <c r="C625" s="15" t="s">
        <v>3972</v>
      </c>
    </row>
    <row r="626" spans="1:3" x14ac:dyDescent="0.2">
      <c r="A626" s="19" t="s">
        <v>3973</v>
      </c>
      <c r="B626" s="19" t="s">
        <v>3974</v>
      </c>
      <c r="C626" s="15" t="s">
        <v>3972</v>
      </c>
    </row>
    <row r="627" spans="1:3" x14ac:dyDescent="0.2">
      <c r="A627" s="19" t="s">
        <v>3975</v>
      </c>
      <c r="B627" s="19" t="s">
        <v>3975</v>
      </c>
      <c r="C627" s="15" t="s">
        <v>3976</v>
      </c>
    </row>
    <row r="628" spans="1:3" x14ac:dyDescent="0.2">
      <c r="A628" s="19" t="s">
        <v>3977</v>
      </c>
      <c r="B628" s="19" t="s">
        <v>3978</v>
      </c>
      <c r="C628" s="15" t="s">
        <v>3976</v>
      </c>
    </row>
    <row r="629" spans="1:3" x14ac:dyDescent="0.2">
      <c r="A629" s="19" t="s">
        <v>3979</v>
      </c>
      <c r="B629" s="19" t="s">
        <v>3979</v>
      </c>
      <c r="C629" s="15" t="s">
        <v>3980</v>
      </c>
    </row>
    <row r="630" spans="1:3" x14ac:dyDescent="0.2">
      <c r="A630" s="19" t="s">
        <v>3981</v>
      </c>
      <c r="B630" s="19" t="s">
        <v>3982</v>
      </c>
      <c r="C630" s="15" t="s">
        <v>3983</v>
      </c>
    </row>
    <row r="631" spans="1:3" x14ac:dyDescent="0.2">
      <c r="A631" s="19" t="s">
        <v>3984</v>
      </c>
      <c r="B631" s="19" t="s">
        <v>3985</v>
      </c>
      <c r="C631" s="15" t="s">
        <v>3986</v>
      </c>
    </row>
    <row r="632" spans="1:3" x14ac:dyDescent="0.2">
      <c r="A632" s="19" t="s">
        <v>3987</v>
      </c>
      <c r="B632" s="19" t="s">
        <v>3988</v>
      </c>
      <c r="C632" s="15" t="s">
        <v>3989</v>
      </c>
    </row>
    <row r="633" spans="1:3" x14ac:dyDescent="0.2">
      <c r="A633" s="19" t="s">
        <v>3990</v>
      </c>
      <c r="B633" s="19" t="s">
        <v>3990</v>
      </c>
      <c r="C633" s="15" t="s">
        <v>3991</v>
      </c>
    </row>
    <row r="634" spans="1:3" x14ac:dyDescent="0.2">
      <c r="A634" s="19" t="s">
        <v>3992</v>
      </c>
      <c r="B634" s="19" t="s">
        <v>3993</v>
      </c>
      <c r="C634" s="15" t="s">
        <v>3994</v>
      </c>
    </row>
    <row r="635" spans="1:3" x14ac:dyDescent="0.2">
      <c r="A635" s="19" t="s">
        <v>3995</v>
      </c>
      <c r="B635" s="19" t="s">
        <v>3996</v>
      </c>
      <c r="C635" s="15" t="s">
        <v>3997</v>
      </c>
    </row>
    <row r="636" spans="1:3" x14ac:dyDescent="0.2">
      <c r="A636" s="19" t="s">
        <v>3998</v>
      </c>
      <c r="B636" s="19" t="s">
        <v>3998</v>
      </c>
      <c r="C636" s="15" t="s">
        <v>3999</v>
      </c>
    </row>
    <row r="637" spans="1:3" x14ac:dyDescent="0.2">
      <c r="A637" s="19" t="s">
        <v>4000</v>
      </c>
      <c r="B637" s="19" t="s">
        <v>4001</v>
      </c>
      <c r="C637" s="15" t="s">
        <v>3999</v>
      </c>
    </row>
    <row r="638" spans="1:3" x14ac:dyDescent="0.2">
      <c r="A638" s="19" t="s">
        <v>4002</v>
      </c>
      <c r="B638" s="19" t="s">
        <v>4002</v>
      </c>
      <c r="C638" s="15" t="s">
        <v>4003</v>
      </c>
    </row>
    <row r="639" spans="1:3" x14ac:dyDescent="0.2">
      <c r="A639" s="19" t="s">
        <v>4004</v>
      </c>
      <c r="B639" s="19" t="s">
        <v>4004</v>
      </c>
      <c r="C639" s="15" t="s">
        <v>4005</v>
      </c>
    </row>
    <row r="640" spans="1:3" x14ac:dyDescent="0.2">
      <c r="A640" s="19" t="s">
        <v>4006</v>
      </c>
      <c r="B640" s="19" t="s">
        <v>4007</v>
      </c>
      <c r="C640" s="15" t="s">
        <v>4005</v>
      </c>
    </row>
    <row r="641" spans="1:3" x14ac:dyDescent="0.2">
      <c r="A641" s="19" t="s">
        <v>4008</v>
      </c>
      <c r="B641" s="19" t="s">
        <v>4008</v>
      </c>
      <c r="C641" s="15" t="s">
        <v>4009</v>
      </c>
    </row>
    <row r="642" spans="1:3" x14ac:dyDescent="0.2">
      <c r="A642" s="19" t="s">
        <v>4010</v>
      </c>
      <c r="B642" s="19" t="s">
        <v>4011</v>
      </c>
      <c r="C642" s="15" t="s">
        <v>4009</v>
      </c>
    </row>
    <row r="643" spans="1:3" x14ac:dyDescent="0.2">
      <c r="A643" s="19" t="s">
        <v>4012</v>
      </c>
      <c r="B643" s="19" t="s">
        <v>4012</v>
      </c>
      <c r="C643" s="15" t="s">
        <v>4013</v>
      </c>
    </row>
    <row r="644" spans="1:3" x14ac:dyDescent="0.2">
      <c r="A644" s="19" t="s">
        <v>4014</v>
      </c>
      <c r="B644" s="19" t="s">
        <v>4015</v>
      </c>
      <c r="C644" s="15" t="s">
        <v>4013</v>
      </c>
    </row>
    <row r="645" spans="1:3" x14ac:dyDescent="0.2">
      <c r="A645" s="19" t="s">
        <v>4016</v>
      </c>
      <c r="B645" s="19" t="s">
        <v>4016</v>
      </c>
      <c r="C645" s="15" t="s">
        <v>4017</v>
      </c>
    </row>
    <row r="646" spans="1:3" x14ac:dyDescent="0.2">
      <c r="A646" s="19" t="s">
        <v>4018</v>
      </c>
      <c r="B646" s="19" t="s">
        <v>4019</v>
      </c>
      <c r="C646" s="15" t="s">
        <v>4017</v>
      </c>
    </row>
    <row r="647" spans="1:3" x14ac:dyDescent="0.2">
      <c r="A647" s="19" t="s">
        <v>4020</v>
      </c>
      <c r="B647" s="19" t="s">
        <v>4020</v>
      </c>
      <c r="C647" s="15" t="s">
        <v>4021</v>
      </c>
    </row>
    <row r="648" spans="1:3" x14ac:dyDescent="0.2">
      <c r="A648" s="19" t="s">
        <v>4022</v>
      </c>
      <c r="B648" s="19" t="s">
        <v>4022</v>
      </c>
      <c r="C648" s="15" t="s">
        <v>4023</v>
      </c>
    </row>
    <row r="649" spans="1:3" x14ac:dyDescent="0.2">
      <c r="A649" s="19" t="s">
        <v>4024</v>
      </c>
      <c r="B649" s="19" t="s">
        <v>4025</v>
      </c>
      <c r="C649" s="15" t="s">
        <v>4023</v>
      </c>
    </row>
    <row r="650" spans="1:3" x14ac:dyDescent="0.2">
      <c r="A650" s="19" t="s">
        <v>4026</v>
      </c>
      <c r="B650" s="19" t="s">
        <v>4026</v>
      </c>
      <c r="C650" s="15" t="s">
        <v>4027</v>
      </c>
    </row>
    <row r="651" spans="1:3" x14ac:dyDescent="0.2">
      <c r="A651" s="19" t="s">
        <v>4028</v>
      </c>
      <c r="B651" s="19" t="s">
        <v>4029</v>
      </c>
      <c r="C651" s="15" t="s">
        <v>4030</v>
      </c>
    </row>
    <row r="652" spans="1:3" x14ac:dyDescent="0.2">
      <c r="A652" s="19" t="s">
        <v>4031</v>
      </c>
      <c r="B652" s="19" t="s">
        <v>4032</v>
      </c>
      <c r="C652" s="15" t="s">
        <v>4033</v>
      </c>
    </row>
    <row r="653" spans="1:3" x14ac:dyDescent="0.2">
      <c r="A653" s="19" t="s">
        <v>4034</v>
      </c>
      <c r="B653" s="19" t="s">
        <v>4034</v>
      </c>
      <c r="C653" s="15" t="s">
        <v>4035</v>
      </c>
    </row>
    <row r="654" spans="1:3" x14ac:dyDescent="0.2">
      <c r="A654" s="19" t="s">
        <v>4036</v>
      </c>
      <c r="B654" s="19" t="s">
        <v>4036</v>
      </c>
      <c r="C654" s="15" t="s">
        <v>4037</v>
      </c>
    </row>
    <row r="655" spans="1:3" x14ac:dyDescent="0.2">
      <c r="A655" s="19" t="s">
        <v>4038</v>
      </c>
      <c r="B655" s="19" t="s">
        <v>4039</v>
      </c>
      <c r="C655" s="15" t="s">
        <v>4037</v>
      </c>
    </row>
    <row r="656" spans="1:3" x14ac:dyDescent="0.2">
      <c r="A656" s="19" t="s">
        <v>4040</v>
      </c>
      <c r="B656" s="19" t="s">
        <v>4040</v>
      </c>
      <c r="C656" s="15" t="s">
        <v>4041</v>
      </c>
    </row>
    <row r="657" spans="1:3" x14ac:dyDescent="0.2">
      <c r="A657" s="19" t="s">
        <v>4042</v>
      </c>
      <c r="B657" s="19" t="s">
        <v>4043</v>
      </c>
      <c r="C657" s="15" t="s">
        <v>4044</v>
      </c>
    </row>
    <row r="658" spans="1:3" x14ac:dyDescent="0.2">
      <c r="A658" s="19" t="s">
        <v>4045</v>
      </c>
      <c r="B658" s="19" t="s">
        <v>4046</v>
      </c>
      <c r="C658" s="15" t="s">
        <v>4047</v>
      </c>
    </row>
    <row r="659" spans="1:3" x14ac:dyDescent="0.2">
      <c r="A659" s="19" t="s">
        <v>4048</v>
      </c>
      <c r="B659" s="19" t="s">
        <v>4049</v>
      </c>
      <c r="C659" s="15" t="s">
        <v>4050</v>
      </c>
    </row>
    <row r="660" spans="1:3" x14ac:dyDescent="0.2">
      <c r="A660" s="19" t="s">
        <v>4051</v>
      </c>
      <c r="B660" s="19" t="s">
        <v>4052</v>
      </c>
      <c r="C660" s="15" t="s">
        <v>4053</v>
      </c>
    </row>
    <row r="661" spans="1:3" x14ac:dyDescent="0.2">
      <c r="A661" s="19" t="s">
        <v>4054</v>
      </c>
      <c r="B661" s="19" t="s">
        <v>4055</v>
      </c>
      <c r="C661" s="15" t="s">
        <v>4056</v>
      </c>
    </row>
    <row r="662" spans="1:3" x14ac:dyDescent="0.2">
      <c r="A662" s="19" t="s">
        <v>4057</v>
      </c>
      <c r="B662" s="19" t="s">
        <v>4057</v>
      </c>
      <c r="C662" s="15" t="s">
        <v>4058</v>
      </c>
    </row>
    <row r="663" spans="1:3" x14ac:dyDescent="0.2">
      <c r="A663" s="19" t="s">
        <v>4059</v>
      </c>
      <c r="B663" s="19" t="s">
        <v>4059</v>
      </c>
      <c r="C663" s="15" t="s">
        <v>4060</v>
      </c>
    </row>
    <row r="664" spans="1:3" x14ac:dyDescent="0.2">
      <c r="A664" s="19" t="s">
        <v>4061</v>
      </c>
      <c r="B664" s="19" t="s">
        <v>4062</v>
      </c>
      <c r="C664" s="15" t="s">
        <v>4060</v>
      </c>
    </row>
    <row r="665" spans="1:3" x14ac:dyDescent="0.2">
      <c r="A665" s="19" t="s">
        <v>4063</v>
      </c>
      <c r="B665" s="19" t="s">
        <v>4063</v>
      </c>
      <c r="C665" s="15" t="s">
        <v>4064</v>
      </c>
    </row>
    <row r="666" spans="1:3" x14ac:dyDescent="0.2">
      <c r="A666" s="19" t="s">
        <v>4065</v>
      </c>
      <c r="B666" s="19" t="s">
        <v>4066</v>
      </c>
      <c r="C666" s="15" t="s">
        <v>4064</v>
      </c>
    </row>
    <row r="667" spans="1:3" x14ac:dyDescent="0.2">
      <c r="A667" s="19" t="s">
        <v>4067</v>
      </c>
      <c r="B667" s="19" t="s">
        <v>4067</v>
      </c>
      <c r="C667" s="15" t="s">
        <v>4068</v>
      </c>
    </row>
    <row r="668" spans="1:3" x14ac:dyDescent="0.2">
      <c r="A668" s="19" t="s">
        <v>4069</v>
      </c>
      <c r="B668" s="19" t="s">
        <v>4069</v>
      </c>
      <c r="C668" s="15" t="s">
        <v>4070</v>
      </c>
    </row>
    <row r="669" spans="1:3" x14ac:dyDescent="0.2">
      <c r="A669" s="19" t="s">
        <v>4071</v>
      </c>
      <c r="B669" s="19" t="s">
        <v>4071</v>
      </c>
      <c r="C669" s="15" t="s">
        <v>4072</v>
      </c>
    </row>
    <row r="670" spans="1:3" x14ac:dyDescent="0.2">
      <c r="A670" s="19" t="s">
        <v>4073</v>
      </c>
      <c r="B670" s="19" t="s">
        <v>4074</v>
      </c>
      <c r="C670" s="15" t="s">
        <v>4072</v>
      </c>
    </row>
    <row r="671" spans="1:3" x14ac:dyDescent="0.2">
      <c r="A671" s="19" t="s">
        <v>4075</v>
      </c>
      <c r="B671" s="19" t="s">
        <v>4075</v>
      </c>
      <c r="C671" s="15" t="s">
        <v>4076</v>
      </c>
    </row>
    <row r="672" spans="1:3" x14ac:dyDescent="0.2">
      <c r="A672" s="19" t="s">
        <v>4077</v>
      </c>
      <c r="B672" s="19" t="s">
        <v>4078</v>
      </c>
      <c r="C672" s="15" t="s">
        <v>4076</v>
      </c>
    </row>
    <row r="673" spans="1:3" x14ac:dyDescent="0.2">
      <c r="A673" s="19" t="s">
        <v>4079</v>
      </c>
      <c r="B673" s="19" t="s">
        <v>4079</v>
      </c>
      <c r="C673" s="15" t="s">
        <v>4080</v>
      </c>
    </row>
    <row r="674" spans="1:3" x14ac:dyDescent="0.2">
      <c r="A674" s="19" t="s">
        <v>4081</v>
      </c>
      <c r="B674" s="19" t="s">
        <v>4082</v>
      </c>
      <c r="C674" s="15" t="s">
        <v>4080</v>
      </c>
    </row>
    <row r="675" spans="1:3" x14ac:dyDescent="0.2">
      <c r="A675" s="19" t="s">
        <v>4083</v>
      </c>
      <c r="B675" s="19" t="s">
        <v>4083</v>
      </c>
      <c r="C675" s="15" t="s">
        <v>4084</v>
      </c>
    </row>
    <row r="676" spans="1:3" x14ac:dyDescent="0.2">
      <c r="A676" s="19" t="s">
        <v>4085</v>
      </c>
      <c r="B676" s="19" t="s">
        <v>4086</v>
      </c>
      <c r="C676" s="15" t="s">
        <v>4084</v>
      </c>
    </row>
    <row r="677" spans="1:3" x14ac:dyDescent="0.2">
      <c r="A677" s="19" t="s">
        <v>4087</v>
      </c>
      <c r="B677" s="19" t="s">
        <v>4087</v>
      </c>
      <c r="C677" s="15" t="s">
        <v>4088</v>
      </c>
    </row>
    <row r="678" spans="1:3" x14ac:dyDescent="0.2">
      <c r="A678" s="19" t="s">
        <v>4089</v>
      </c>
      <c r="B678" s="19" t="s">
        <v>4089</v>
      </c>
      <c r="C678" s="15" t="s">
        <v>4090</v>
      </c>
    </row>
    <row r="679" spans="1:3" x14ac:dyDescent="0.2">
      <c r="A679" s="19" t="s">
        <v>4091</v>
      </c>
      <c r="B679" s="19" t="s">
        <v>4092</v>
      </c>
      <c r="C679" s="15" t="s">
        <v>4090</v>
      </c>
    </row>
    <row r="680" spans="1:3" x14ac:dyDescent="0.2">
      <c r="A680" s="19" t="s">
        <v>4093</v>
      </c>
      <c r="B680" s="19" t="s">
        <v>4093</v>
      </c>
      <c r="C680" s="15" t="s">
        <v>4094</v>
      </c>
    </row>
    <row r="681" spans="1:3" x14ac:dyDescent="0.2">
      <c r="A681" s="19" t="s">
        <v>4095</v>
      </c>
      <c r="B681" s="19" t="s">
        <v>4096</v>
      </c>
      <c r="C681" s="15" t="s">
        <v>4097</v>
      </c>
    </row>
    <row r="682" spans="1:3" x14ac:dyDescent="0.2">
      <c r="A682" s="19" t="s">
        <v>4098</v>
      </c>
      <c r="B682" s="19" t="s">
        <v>4099</v>
      </c>
      <c r="C682" s="15" t="s">
        <v>4100</v>
      </c>
    </row>
    <row r="683" spans="1:3" x14ac:dyDescent="0.2">
      <c r="A683" s="19" t="s">
        <v>4101</v>
      </c>
      <c r="B683" s="19" t="s">
        <v>4101</v>
      </c>
      <c r="C683" s="15" t="s">
        <v>4102</v>
      </c>
    </row>
    <row r="684" spans="1:3" x14ac:dyDescent="0.2">
      <c r="A684" s="19" t="s">
        <v>4103</v>
      </c>
      <c r="B684" s="19" t="s">
        <v>4104</v>
      </c>
      <c r="C684" s="15" t="s">
        <v>4102</v>
      </c>
    </row>
    <row r="685" spans="1:3" x14ac:dyDescent="0.2">
      <c r="A685" s="19" t="s">
        <v>4105</v>
      </c>
      <c r="B685" s="19" t="s">
        <v>4105</v>
      </c>
      <c r="C685" s="15" t="s">
        <v>4106</v>
      </c>
    </row>
    <row r="686" spans="1:3" x14ac:dyDescent="0.2">
      <c r="A686" s="19" t="s">
        <v>4107</v>
      </c>
      <c r="B686" s="19" t="s">
        <v>4107</v>
      </c>
      <c r="C686" s="15" t="s">
        <v>4108</v>
      </c>
    </row>
    <row r="687" spans="1:3" x14ac:dyDescent="0.2">
      <c r="A687" s="19" t="s">
        <v>4109</v>
      </c>
      <c r="B687" s="19" t="s">
        <v>4109</v>
      </c>
      <c r="C687" s="15" t="s">
        <v>4110</v>
      </c>
    </row>
    <row r="688" spans="1:3" x14ac:dyDescent="0.2">
      <c r="A688" s="19" t="s">
        <v>4111</v>
      </c>
      <c r="B688" s="19" t="s">
        <v>4112</v>
      </c>
      <c r="C688" s="15" t="s">
        <v>4113</v>
      </c>
    </row>
    <row r="689" spans="1:3" x14ac:dyDescent="0.2">
      <c r="A689" s="19" t="s">
        <v>4114</v>
      </c>
      <c r="B689" s="19" t="s">
        <v>4115</v>
      </c>
      <c r="C689" s="15" t="s">
        <v>4116</v>
      </c>
    </row>
    <row r="690" spans="1:3" x14ac:dyDescent="0.2">
      <c r="A690" s="19" t="s">
        <v>4117</v>
      </c>
      <c r="B690" s="19" t="s">
        <v>4118</v>
      </c>
      <c r="C690" s="15" t="s">
        <v>4119</v>
      </c>
    </row>
    <row r="691" spans="1:3" x14ac:dyDescent="0.2">
      <c r="A691" s="19" t="s">
        <v>4120</v>
      </c>
      <c r="B691" s="19" t="s">
        <v>4121</v>
      </c>
      <c r="C691" s="15" t="s">
        <v>4122</v>
      </c>
    </row>
    <row r="692" spans="1:3" x14ac:dyDescent="0.2">
      <c r="A692" s="19" t="s">
        <v>4123</v>
      </c>
      <c r="B692" s="19" t="s">
        <v>4124</v>
      </c>
      <c r="C692" s="15" t="s">
        <v>4125</v>
      </c>
    </row>
    <row r="693" spans="1:3" x14ac:dyDescent="0.2">
      <c r="A693" s="19" t="s">
        <v>4126</v>
      </c>
      <c r="B693" s="19" t="s">
        <v>4126</v>
      </c>
      <c r="C693" s="15" t="s">
        <v>4127</v>
      </c>
    </row>
    <row r="694" spans="1:3" x14ac:dyDescent="0.2">
      <c r="A694" s="19" t="s">
        <v>4128</v>
      </c>
      <c r="B694" s="19" t="s">
        <v>4129</v>
      </c>
      <c r="C694" s="15" t="s">
        <v>4130</v>
      </c>
    </row>
    <row r="695" spans="1:3" x14ac:dyDescent="0.2">
      <c r="A695" s="19" t="s">
        <v>4131</v>
      </c>
      <c r="B695" s="19" t="s">
        <v>4132</v>
      </c>
      <c r="C695" s="15" t="s">
        <v>4133</v>
      </c>
    </row>
    <row r="696" spans="1:3" x14ac:dyDescent="0.2">
      <c r="A696" s="19" t="s">
        <v>4134</v>
      </c>
      <c r="B696" s="19" t="s">
        <v>4134</v>
      </c>
      <c r="C696" s="15" t="s">
        <v>4135</v>
      </c>
    </row>
    <row r="697" spans="1:3" x14ac:dyDescent="0.2">
      <c r="A697" s="19" t="s">
        <v>4136</v>
      </c>
      <c r="B697" s="19" t="s">
        <v>4136</v>
      </c>
      <c r="C697" s="15" t="s">
        <v>4137</v>
      </c>
    </row>
    <row r="698" spans="1:3" x14ac:dyDescent="0.2">
      <c r="A698" s="19" t="s">
        <v>4138</v>
      </c>
      <c r="B698" s="19" t="s">
        <v>4139</v>
      </c>
      <c r="C698" s="15" t="s">
        <v>4140</v>
      </c>
    </row>
    <row r="699" spans="1:3" x14ac:dyDescent="0.2">
      <c r="A699" s="19" t="s">
        <v>4141</v>
      </c>
      <c r="B699" s="19" t="s">
        <v>4142</v>
      </c>
      <c r="C699" s="15" t="s">
        <v>4143</v>
      </c>
    </row>
    <row r="700" spans="1:3" x14ac:dyDescent="0.2">
      <c r="A700" s="19" t="s">
        <v>4144</v>
      </c>
      <c r="B700" s="19" t="s">
        <v>4145</v>
      </c>
      <c r="C700" s="15" t="s">
        <v>4146</v>
      </c>
    </row>
    <row r="701" spans="1:3" x14ac:dyDescent="0.2">
      <c r="A701" s="19" t="s">
        <v>4147</v>
      </c>
      <c r="B701" s="19" t="s">
        <v>4148</v>
      </c>
      <c r="C701" s="15" t="s">
        <v>4149</v>
      </c>
    </row>
    <row r="702" spans="1:3" x14ac:dyDescent="0.2">
      <c r="A702" s="19" t="s">
        <v>4150</v>
      </c>
      <c r="B702" s="19" t="s">
        <v>4150</v>
      </c>
      <c r="C702" s="15" t="s">
        <v>4151</v>
      </c>
    </row>
    <row r="703" spans="1:3" x14ac:dyDescent="0.2">
      <c r="A703" s="19" t="s">
        <v>4152</v>
      </c>
      <c r="B703" s="19" t="s">
        <v>4153</v>
      </c>
      <c r="C703" s="15" t="s">
        <v>4151</v>
      </c>
    </row>
    <row r="704" spans="1:3" x14ac:dyDescent="0.2">
      <c r="A704" s="19" t="s">
        <v>4154</v>
      </c>
      <c r="B704" s="19" t="s">
        <v>4154</v>
      </c>
      <c r="C704" s="15" t="s">
        <v>4155</v>
      </c>
    </row>
    <row r="705" spans="1:3" x14ac:dyDescent="0.2">
      <c r="A705" s="19" t="s">
        <v>4156</v>
      </c>
      <c r="B705" s="19" t="s">
        <v>4156</v>
      </c>
      <c r="C705" s="15" t="s">
        <v>4157</v>
      </c>
    </row>
    <row r="706" spans="1:3" x14ac:dyDescent="0.2">
      <c r="A706" s="19" t="s">
        <v>4158</v>
      </c>
      <c r="B706" s="19" t="s">
        <v>4159</v>
      </c>
      <c r="C706" s="15" t="s">
        <v>4157</v>
      </c>
    </row>
    <row r="707" spans="1:3" x14ac:dyDescent="0.2">
      <c r="A707" s="19" t="s">
        <v>4160</v>
      </c>
      <c r="B707" s="19" t="s">
        <v>4160</v>
      </c>
      <c r="C707" s="15" t="s">
        <v>4161</v>
      </c>
    </row>
    <row r="708" spans="1:3" x14ac:dyDescent="0.2">
      <c r="A708" s="19" t="s">
        <v>4162</v>
      </c>
      <c r="B708" s="19" t="s">
        <v>4163</v>
      </c>
      <c r="C708" s="15" t="s">
        <v>4161</v>
      </c>
    </row>
    <row r="709" spans="1:3" x14ac:dyDescent="0.2">
      <c r="A709" s="19" t="s">
        <v>4164</v>
      </c>
      <c r="B709" s="19" t="s">
        <v>4164</v>
      </c>
      <c r="C709" s="15" t="s">
        <v>4165</v>
      </c>
    </row>
    <row r="710" spans="1:3" x14ac:dyDescent="0.2">
      <c r="A710" s="19" t="s">
        <v>4166</v>
      </c>
      <c r="B710" s="19" t="s">
        <v>4166</v>
      </c>
      <c r="C710" s="15" t="s">
        <v>4167</v>
      </c>
    </row>
    <row r="711" spans="1:3" x14ac:dyDescent="0.2">
      <c r="A711" s="19" t="s">
        <v>4168</v>
      </c>
      <c r="B711" s="19" t="s">
        <v>4169</v>
      </c>
      <c r="C711" s="15" t="s">
        <v>4167</v>
      </c>
    </row>
    <row r="712" spans="1:3" x14ac:dyDescent="0.2">
      <c r="A712" s="19" t="s">
        <v>4170</v>
      </c>
      <c r="B712" s="19" t="s">
        <v>4170</v>
      </c>
      <c r="C712" s="15" t="s">
        <v>4171</v>
      </c>
    </row>
    <row r="713" spans="1:3" x14ac:dyDescent="0.2">
      <c r="A713" s="19" t="s">
        <v>4172</v>
      </c>
      <c r="B713" s="19" t="s">
        <v>4173</v>
      </c>
      <c r="C713" s="15" t="s">
        <v>4171</v>
      </c>
    </row>
    <row r="714" spans="1:3" x14ac:dyDescent="0.2">
      <c r="A714" s="19" t="s">
        <v>4174</v>
      </c>
      <c r="B714" s="19" t="s">
        <v>4174</v>
      </c>
      <c r="C714" s="15" t="s">
        <v>4175</v>
      </c>
    </row>
    <row r="715" spans="1:3" x14ac:dyDescent="0.2">
      <c r="A715" s="19" t="s">
        <v>4176</v>
      </c>
      <c r="B715" s="19" t="s">
        <v>4177</v>
      </c>
      <c r="C715" s="15" t="s">
        <v>4175</v>
      </c>
    </row>
    <row r="716" spans="1:3" x14ac:dyDescent="0.2">
      <c r="A716" s="19" t="s">
        <v>4178</v>
      </c>
      <c r="B716" s="19" t="s">
        <v>4178</v>
      </c>
      <c r="C716" s="15" t="s">
        <v>4179</v>
      </c>
    </row>
    <row r="717" spans="1:3" x14ac:dyDescent="0.2">
      <c r="A717" s="19" t="s">
        <v>4180</v>
      </c>
      <c r="B717" s="19" t="s">
        <v>4181</v>
      </c>
      <c r="C717" s="15" t="s">
        <v>4179</v>
      </c>
    </row>
    <row r="718" spans="1:3" x14ac:dyDescent="0.2">
      <c r="A718" s="19" t="s">
        <v>4182</v>
      </c>
      <c r="B718" s="19" t="s">
        <v>4182</v>
      </c>
      <c r="C718" s="15" t="s">
        <v>4183</v>
      </c>
    </row>
    <row r="719" spans="1:3" x14ac:dyDescent="0.2">
      <c r="A719" s="19" t="s">
        <v>4184</v>
      </c>
      <c r="B719" s="19" t="s">
        <v>4184</v>
      </c>
      <c r="C719" s="15" t="s">
        <v>4183</v>
      </c>
    </row>
    <row r="720" spans="1:3" x14ac:dyDescent="0.2">
      <c r="A720" s="19" t="s">
        <v>4185</v>
      </c>
      <c r="B720" s="19" t="s">
        <v>4186</v>
      </c>
      <c r="C720" s="15" t="s">
        <v>4187</v>
      </c>
    </row>
    <row r="721" spans="1:3" x14ac:dyDescent="0.2">
      <c r="A721" s="19" t="s">
        <v>4188</v>
      </c>
      <c r="B721" s="19" t="s">
        <v>4189</v>
      </c>
      <c r="C721" s="15" t="s">
        <v>4190</v>
      </c>
    </row>
    <row r="722" spans="1:3" x14ac:dyDescent="0.2">
      <c r="A722" s="19" t="s">
        <v>4191</v>
      </c>
      <c r="B722" s="19" t="s">
        <v>4192</v>
      </c>
      <c r="C722" s="15" t="s">
        <v>4193</v>
      </c>
    </row>
    <row r="723" spans="1:3" x14ac:dyDescent="0.2">
      <c r="A723" s="19" t="s">
        <v>4194</v>
      </c>
      <c r="B723" s="19" t="s">
        <v>4195</v>
      </c>
      <c r="C723" s="15" t="s">
        <v>4196</v>
      </c>
    </row>
    <row r="724" spans="1:3" x14ac:dyDescent="0.2">
      <c r="A724" s="19" t="s">
        <v>4197</v>
      </c>
      <c r="B724" s="19" t="s">
        <v>4197</v>
      </c>
      <c r="C724" s="15" t="s">
        <v>4198</v>
      </c>
    </row>
    <row r="725" spans="1:3" x14ac:dyDescent="0.2">
      <c r="A725" s="19" t="s">
        <v>4199</v>
      </c>
      <c r="B725" s="19" t="s">
        <v>4199</v>
      </c>
      <c r="C725" s="15" t="s">
        <v>4200</v>
      </c>
    </row>
    <row r="726" spans="1:3" x14ac:dyDescent="0.2">
      <c r="A726" s="19" t="s">
        <v>4201</v>
      </c>
      <c r="B726" s="19" t="s">
        <v>4202</v>
      </c>
      <c r="C726" s="15" t="s">
        <v>4203</v>
      </c>
    </row>
    <row r="727" spans="1:3" x14ac:dyDescent="0.2">
      <c r="A727" s="19" t="s">
        <v>4204</v>
      </c>
      <c r="B727" s="19" t="s">
        <v>4205</v>
      </c>
      <c r="C727" s="15" t="s">
        <v>4206</v>
      </c>
    </row>
    <row r="728" spans="1:3" x14ac:dyDescent="0.2">
      <c r="A728" s="19" t="s">
        <v>4207</v>
      </c>
      <c r="B728" s="19" t="s">
        <v>4207</v>
      </c>
      <c r="C728" s="15" t="s">
        <v>4208</v>
      </c>
    </row>
    <row r="729" spans="1:3" x14ac:dyDescent="0.2">
      <c r="A729" s="19" t="s">
        <v>4209</v>
      </c>
      <c r="B729" s="19" t="s">
        <v>4210</v>
      </c>
      <c r="C729" s="15" t="s">
        <v>4211</v>
      </c>
    </row>
    <row r="730" spans="1:3" x14ac:dyDescent="0.2">
      <c r="A730" s="19" t="s">
        <v>4212</v>
      </c>
      <c r="B730" s="19" t="s">
        <v>4213</v>
      </c>
      <c r="C730" s="15" t="s">
        <v>4214</v>
      </c>
    </row>
    <row r="731" spans="1:3" x14ac:dyDescent="0.2">
      <c r="A731" s="19" t="s">
        <v>4215</v>
      </c>
      <c r="B731" s="19" t="s">
        <v>4215</v>
      </c>
      <c r="C731" s="15" t="s">
        <v>4216</v>
      </c>
    </row>
    <row r="732" spans="1:3" x14ac:dyDescent="0.2">
      <c r="A732" s="19" t="s">
        <v>4217</v>
      </c>
      <c r="B732" s="19" t="s">
        <v>4217</v>
      </c>
      <c r="C732" s="15" t="s">
        <v>4218</v>
      </c>
    </row>
    <row r="733" spans="1:3" x14ac:dyDescent="0.2">
      <c r="A733" s="19" t="s">
        <v>4219</v>
      </c>
      <c r="B733" s="19" t="s">
        <v>4219</v>
      </c>
      <c r="C733" s="15" t="s">
        <v>4220</v>
      </c>
    </row>
    <row r="734" spans="1:3" x14ac:dyDescent="0.2">
      <c r="A734" s="19" t="s">
        <v>4221</v>
      </c>
      <c r="B734" s="19" t="s">
        <v>4222</v>
      </c>
      <c r="C734" s="15" t="s">
        <v>4223</v>
      </c>
    </row>
    <row r="735" spans="1:3" x14ac:dyDescent="0.2">
      <c r="A735" s="19" t="s">
        <v>4224</v>
      </c>
      <c r="B735" s="19" t="s">
        <v>4225</v>
      </c>
      <c r="C735" s="15" t="s">
        <v>4226</v>
      </c>
    </row>
    <row r="736" spans="1:3" x14ac:dyDescent="0.2">
      <c r="A736" s="19" t="s">
        <v>4227</v>
      </c>
      <c r="B736" s="19" t="s">
        <v>4227</v>
      </c>
      <c r="C736" s="15" t="s">
        <v>4228</v>
      </c>
    </row>
    <row r="737" spans="1:3" x14ac:dyDescent="0.2">
      <c r="A737" s="19" t="s">
        <v>4229</v>
      </c>
      <c r="B737" s="19" t="s">
        <v>4230</v>
      </c>
      <c r="C737" s="15" t="s">
        <v>4228</v>
      </c>
    </row>
    <row r="738" spans="1:3" x14ac:dyDescent="0.2">
      <c r="A738" s="19" t="s">
        <v>4231</v>
      </c>
      <c r="B738" s="19" t="s">
        <v>4231</v>
      </c>
      <c r="C738" s="15" t="s">
        <v>4232</v>
      </c>
    </row>
    <row r="739" spans="1:3" x14ac:dyDescent="0.2">
      <c r="A739" s="19" t="s">
        <v>4233</v>
      </c>
      <c r="B739" s="19" t="s">
        <v>4234</v>
      </c>
      <c r="C739" s="15" t="s">
        <v>4232</v>
      </c>
    </row>
    <row r="740" spans="1:3" x14ac:dyDescent="0.2">
      <c r="A740" s="19" t="s">
        <v>4235</v>
      </c>
      <c r="B740" s="19" t="s">
        <v>4235</v>
      </c>
      <c r="C740" s="15" t="s">
        <v>4236</v>
      </c>
    </row>
    <row r="741" spans="1:3" x14ac:dyDescent="0.2">
      <c r="A741" s="19" t="s">
        <v>4237</v>
      </c>
      <c r="B741" s="19" t="s">
        <v>4238</v>
      </c>
      <c r="C741" s="15" t="s">
        <v>4239</v>
      </c>
    </row>
    <row r="742" spans="1:3" x14ac:dyDescent="0.2">
      <c r="A742" s="19" t="s">
        <v>4240</v>
      </c>
      <c r="B742" s="19" t="s">
        <v>4241</v>
      </c>
      <c r="C742" s="15" t="s">
        <v>4242</v>
      </c>
    </row>
    <row r="743" spans="1:3" x14ac:dyDescent="0.2">
      <c r="A743" s="19" t="s">
        <v>4243</v>
      </c>
      <c r="B743" s="19" t="s">
        <v>4244</v>
      </c>
      <c r="C743" s="15" t="s">
        <v>4245</v>
      </c>
    </row>
    <row r="744" spans="1:3" x14ac:dyDescent="0.2">
      <c r="A744" s="19" t="s">
        <v>4246</v>
      </c>
      <c r="B744" s="19" t="s">
        <v>4246</v>
      </c>
      <c r="C744" s="15" t="s">
        <v>4247</v>
      </c>
    </row>
    <row r="745" spans="1:3" x14ac:dyDescent="0.2">
      <c r="A745" s="19" t="s">
        <v>4248</v>
      </c>
      <c r="B745" s="19" t="s">
        <v>4248</v>
      </c>
      <c r="C745" s="15" t="s">
        <v>4249</v>
      </c>
    </row>
    <row r="746" spans="1:3" x14ac:dyDescent="0.2">
      <c r="A746" s="19" t="s">
        <v>4250</v>
      </c>
      <c r="B746" s="19" t="s">
        <v>4251</v>
      </c>
      <c r="C746" s="15" t="s">
        <v>4252</v>
      </c>
    </row>
    <row r="747" spans="1:3" x14ac:dyDescent="0.2">
      <c r="A747" s="19" t="s">
        <v>4253</v>
      </c>
      <c r="B747" s="19" t="s">
        <v>4254</v>
      </c>
      <c r="C747" s="15" t="s">
        <v>4255</v>
      </c>
    </row>
    <row r="748" spans="1:3" x14ac:dyDescent="0.2">
      <c r="A748" s="19" t="s">
        <v>4256</v>
      </c>
      <c r="B748" s="19" t="s">
        <v>4256</v>
      </c>
      <c r="C748" s="15" t="s">
        <v>4257</v>
      </c>
    </row>
    <row r="749" spans="1:3" x14ac:dyDescent="0.2">
      <c r="A749" s="19" t="s">
        <v>4258</v>
      </c>
      <c r="B749" s="19" t="s">
        <v>4259</v>
      </c>
      <c r="C749" s="15" t="s">
        <v>4257</v>
      </c>
    </row>
    <row r="750" spans="1:3" x14ac:dyDescent="0.2">
      <c r="A750" s="19" t="s">
        <v>4260</v>
      </c>
      <c r="B750" s="19" t="s">
        <v>4260</v>
      </c>
      <c r="C750" s="15" t="s">
        <v>4261</v>
      </c>
    </row>
    <row r="751" spans="1:3" x14ac:dyDescent="0.2">
      <c r="A751" s="19" t="s">
        <v>4262</v>
      </c>
      <c r="B751" s="19" t="s">
        <v>4263</v>
      </c>
      <c r="C751" s="15" t="s">
        <v>4261</v>
      </c>
    </row>
    <row r="752" spans="1:3" x14ac:dyDescent="0.2">
      <c r="A752" s="19" t="s">
        <v>4264</v>
      </c>
      <c r="B752" s="19" t="s">
        <v>4264</v>
      </c>
      <c r="C752" s="15" t="s">
        <v>4265</v>
      </c>
    </row>
    <row r="753" spans="1:3" x14ac:dyDescent="0.2">
      <c r="A753" s="19" t="s">
        <v>4266</v>
      </c>
      <c r="B753" s="19" t="s">
        <v>4266</v>
      </c>
      <c r="C753" s="15" t="s">
        <v>4267</v>
      </c>
    </row>
    <row r="754" spans="1:3" x14ac:dyDescent="0.2">
      <c r="A754" s="19" t="s">
        <v>4268</v>
      </c>
      <c r="B754" s="19" t="s">
        <v>4269</v>
      </c>
      <c r="C754" s="15" t="s">
        <v>4270</v>
      </c>
    </row>
    <row r="755" spans="1:3" x14ac:dyDescent="0.2">
      <c r="A755" s="19" t="s">
        <v>4271</v>
      </c>
      <c r="B755" s="19" t="s">
        <v>4272</v>
      </c>
      <c r="C755" s="15" t="s">
        <v>4273</v>
      </c>
    </row>
    <row r="756" spans="1:3" x14ac:dyDescent="0.2">
      <c r="A756" s="19" t="s">
        <v>4274</v>
      </c>
      <c r="B756" s="19" t="s">
        <v>4275</v>
      </c>
      <c r="C756" s="15" t="s">
        <v>4276</v>
      </c>
    </row>
    <row r="757" spans="1:3" x14ac:dyDescent="0.2">
      <c r="A757" s="19" t="s">
        <v>4277</v>
      </c>
      <c r="B757" s="19" t="s">
        <v>4277</v>
      </c>
      <c r="C757" s="15" t="s">
        <v>4278</v>
      </c>
    </row>
    <row r="758" spans="1:3" x14ac:dyDescent="0.2">
      <c r="A758" s="19" t="s">
        <v>4279</v>
      </c>
      <c r="B758" s="19" t="s">
        <v>4280</v>
      </c>
      <c r="C758" s="15" t="s">
        <v>4281</v>
      </c>
    </row>
    <row r="759" spans="1:3" x14ac:dyDescent="0.2">
      <c r="A759" s="19" t="s">
        <v>4282</v>
      </c>
      <c r="B759" s="19" t="s">
        <v>4283</v>
      </c>
      <c r="C759" s="15" t="s">
        <v>4284</v>
      </c>
    </row>
    <row r="760" spans="1:3" x14ac:dyDescent="0.2">
      <c r="A760" s="19" t="s">
        <v>4285</v>
      </c>
      <c r="B760" s="19" t="s">
        <v>4286</v>
      </c>
      <c r="C760" s="15" t="s">
        <v>4287</v>
      </c>
    </row>
    <row r="761" spans="1:3" x14ac:dyDescent="0.2">
      <c r="A761" s="19" t="s">
        <v>4288</v>
      </c>
      <c r="B761" s="19" t="s">
        <v>4288</v>
      </c>
      <c r="C761" s="15" t="s">
        <v>4289</v>
      </c>
    </row>
    <row r="762" spans="1:3" x14ac:dyDescent="0.2">
      <c r="A762" s="19" t="s">
        <v>4290</v>
      </c>
      <c r="B762" s="19" t="s">
        <v>4291</v>
      </c>
      <c r="C762" s="15" t="s">
        <v>4289</v>
      </c>
    </row>
    <row r="763" spans="1:3" x14ac:dyDescent="0.2">
      <c r="A763" s="19" t="s">
        <v>4292</v>
      </c>
      <c r="B763" s="19" t="s">
        <v>4292</v>
      </c>
      <c r="C763" s="15" t="s">
        <v>4293</v>
      </c>
    </row>
    <row r="764" spans="1:3" x14ac:dyDescent="0.2">
      <c r="A764" s="19" t="s">
        <v>4294</v>
      </c>
      <c r="B764" s="19" t="s">
        <v>4294</v>
      </c>
      <c r="C764" s="15" t="s">
        <v>4293</v>
      </c>
    </row>
    <row r="765" spans="1:3" x14ac:dyDescent="0.2">
      <c r="A765" s="19" t="s">
        <v>4295</v>
      </c>
      <c r="B765" s="19" t="s">
        <v>4295</v>
      </c>
      <c r="C765" s="15" t="s">
        <v>4296</v>
      </c>
    </row>
    <row r="766" spans="1:3" x14ac:dyDescent="0.2">
      <c r="A766" s="19" t="s">
        <v>4297</v>
      </c>
      <c r="B766" s="19" t="s">
        <v>4298</v>
      </c>
      <c r="C766" s="15" t="s">
        <v>4296</v>
      </c>
    </row>
    <row r="767" spans="1:3" x14ac:dyDescent="0.2">
      <c r="A767" s="19" t="s">
        <v>4299</v>
      </c>
      <c r="B767" s="19" t="s">
        <v>4299</v>
      </c>
      <c r="C767" s="15" t="s">
        <v>4300</v>
      </c>
    </row>
    <row r="768" spans="1:3" x14ac:dyDescent="0.2">
      <c r="A768" s="19" t="s">
        <v>4301</v>
      </c>
      <c r="B768" s="19" t="s">
        <v>4302</v>
      </c>
      <c r="C768" s="15" t="s">
        <v>4300</v>
      </c>
    </row>
    <row r="769" spans="1:3" x14ac:dyDescent="0.2">
      <c r="A769" s="19" t="s">
        <v>4303</v>
      </c>
      <c r="B769" s="19" t="s">
        <v>4303</v>
      </c>
      <c r="C769" s="15" t="s">
        <v>4304</v>
      </c>
    </row>
    <row r="770" spans="1:3" x14ac:dyDescent="0.2">
      <c r="A770" s="19" t="s">
        <v>4305</v>
      </c>
      <c r="B770" s="19" t="s">
        <v>4306</v>
      </c>
      <c r="C770" s="15" t="s">
        <v>4307</v>
      </c>
    </row>
    <row r="771" spans="1:3" x14ac:dyDescent="0.2">
      <c r="A771" s="19" t="s">
        <v>4308</v>
      </c>
      <c r="B771" s="19" t="s">
        <v>4309</v>
      </c>
      <c r="C771" s="15" t="s">
        <v>4310</v>
      </c>
    </row>
    <row r="772" spans="1:3" x14ac:dyDescent="0.2">
      <c r="A772" s="19" t="s">
        <v>4311</v>
      </c>
      <c r="B772" s="19" t="s">
        <v>4311</v>
      </c>
      <c r="C772" s="15" t="s">
        <v>4312</v>
      </c>
    </row>
    <row r="773" spans="1:3" x14ac:dyDescent="0.2">
      <c r="A773" s="19" t="s">
        <v>4313</v>
      </c>
      <c r="B773" s="19" t="s">
        <v>4313</v>
      </c>
      <c r="C773" s="15" t="s">
        <v>4314</v>
      </c>
    </row>
    <row r="774" spans="1:3" x14ac:dyDescent="0.2">
      <c r="A774" s="19" t="s">
        <v>4315</v>
      </c>
      <c r="B774" s="19" t="s">
        <v>4315</v>
      </c>
      <c r="C774" s="15" t="s">
        <v>4316</v>
      </c>
    </row>
    <row r="775" spans="1:3" x14ac:dyDescent="0.2">
      <c r="A775" s="19" t="s">
        <v>4317</v>
      </c>
      <c r="B775" s="19" t="s">
        <v>4318</v>
      </c>
      <c r="C775" s="15" t="s">
        <v>4316</v>
      </c>
    </row>
    <row r="776" spans="1:3" x14ac:dyDescent="0.2">
      <c r="A776" s="19" t="s">
        <v>4319</v>
      </c>
      <c r="B776" s="19" t="s">
        <v>4319</v>
      </c>
      <c r="C776" s="15" t="s">
        <v>4320</v>
      </c>
    </row>
    <row r="777" spans="1:3" x14ac:dyDescent="0.2">
      <c r="A777" s="19" t="s">
        <v>4321</v>
      </c>
      <c r="B777" s="19" t="s">
        <v>4322</v>
      </c>
      <c r="C777" s="15" t="s">
        <v>4320</v>
      </c>
    </row>
    <row r="778" spans="1:3" x14ac:dyDescent="0.2">
      <c r="A778" s="19" t="s">
        <v>4323</v>
      </c>
      <c r="B778" s="19" t="s">
        <v>4323</v>
      </c>
      <c r="C778" s="15" t="s">
        <v>4324</v>
      </c>
    </row>
    <row r="779" spans="1:3" x14ac:dyDescent="0.2">
      <c r="A779" s="19" t="s">
        <v>4325</v>
      </c>
      <c r="B779" s="19" t="s">
        <v>4325</v>
      </c>
      <c r="C779" s="15" t="s">
        <v>4326</v>
      </c>
    </row>
    <row r="780" spans="1:3" x14ac:dyDescent="0.2">
      <c r="A780" s="19" t="s">
        <v>4327</v>
      </c>
      <c r="B780" s="19" t="s">
        <v>4328</v>
      </c>
      <c r="C780" s="15" t="s">
        <v>4326</v>
      </c>
    </row>
    <row r="781" spans="1:3" x14ac:dyDescent="0.2">
      <c r="A781" s="19" t="s">
        <v>4329</v>
      </c>
      <c r="B781" s="19" t="s">
        <v>4329</v>
      </c>
      <c r="C781" s="15" t="s">
        <v>4330</v>
      </c>
    </row>
    <row r="782" spans="1:3" x14ac:dyDescent="0.2">
      <c r="A782" s="19" t="s">
        <v>4331</v>
      </c>
      <c r="B782" s="19" t="s">
        <v>4332</v>
      </c>
      <c r="C782" s="15" t="s">
        <v>4333</v>
      </c>
    </row>
    <row r="783" spans="1:3" x14ac:dyDescent="0.2">
      <c r="A783" s="19" t="s">
        <v>4334</v>
      </c>
      <c r="B783" s="19" t="s">
        <v>4335</v>
      </c>
      <c r="C783" s="15" t="s">
        <v>4336</v>
      </c>
    </row>
    <row r="784" spans="1:3" x14ac:dyDescent="0.2">
      <c r="A784" s="19" t="s">
        <v>4337</v>
      </c>
      <c r="B784" s="19" t="s">
        <v>4337</v>
      </c>
      <c r="C784" s="15" t="s">
        <v>4338</v>
      </c>
    </row>
    <row r="785" spans="1:3" x14ac:dyDescent="0.2">
      <c r="A785" s="19" t="s">
        <v>4339</v>
      </c>
      <c r="B785" s="19" t="s">
        <v>4339</v>
      </c>
      <c r="C785" s="15" t="s">
        <v>4340</v>
      </c>
    </row>
    <row r="786" spans="1:3" x14ac:dyDescent="0.2">
      <c r="A786" s="19" t="s">
        <v>4341</v>
      </c>
      <c r="B786" s="19" t="s">
        <v>4342</v>
      </c>
      <c r="C786" s="15" t="s">
        <v>4343</v>
      </c>
    </row>
    <row r="787" spans="1:3" x14ac:dyDescent="0.2">
      <c r="A787" s="19" t="s">
        <v>4344</v>
      </c>
      <c r="B787" s="19" t="s">
        <v>4345</v>
      </c>
      <c r="C787" s="15" t="s">
        <v>4346</v>
      </c>
    </row>
    <row r="788" spans="1:3" x14ac:dyDescent="0.2">
      <c r="A788" s="19" t="s">
        <v>4347</v>
      </c>
      <c r="B788" s="19" t="s">
        <v>4347</v>
      </c>
      <c r="C788" s="15" t="s">
        <v>4348</v>
      </c>
    </row>
    <row r="789" spans="1:3" x14ac:dyDescent="0.2">
      <c r="A789" s="19" t="s">
        <v>4349</v>
      </c>
      <c r="B789" s="19" t="s">
        <v>4350</v>
      </c>
      <c r="C789" s="15" t="s">
        <v>4348</v>
      </c>
    </row>
    <row r="790" spans="1:3" x14ac:dyDescent="0.2">
      <c r="A790" s="19" t="s">
        <v>4351</v>
      </c>
      <c r="B790" s="19" t="s">
        <v>4351</v>
      </c>
      <c r="C790" s="15" t="s">
        <v>4352</v>
      </c>
    </row>
    <row r="791" spans="1:3" x14ac:dyDescent="0.2">
      <c r="A791" s="19" t="s">
        <v>4353</v>
      </c>
      <c r="B791" s="19" t="s">
        <v>4353</v>
      </c>
      <c r="C791" s="15" t="s">
        <v>4354</v>
      </c>
    </row>
    <row r="792" spans="1:3" x14ac:dyDescent="0.2">
      <c r="A792" s="19" t="s">
        <v>4355</v>
      </c>
      <c r="B792" s="19" t="s">
        <v>4356</v>
      </c>
      <c r="C792" s="15" t="s">
        <v>4357</v>
      </c>
    </row>
    <row r="793" spans="1:3" x14ac:dyDescent="0.2">
      <c r="A793" s="19" t="s">
        <v>4358</v>
      </c>
      <c r="B793" s="19" t="s">
        <v>4359</v>
      </c>
      <c r="C793" s="15" t="s">
        <v>4360</v>
      </c>
    </row>
    <row r="794" spans="1:3" x14ac:dyDescent="0.2">
      <c r="A794" s="19" t="s">
        <v>4361</v>
      </c>
      <c r="B794" s="19" t="s">
        <v>4361</v>
      </c>
      <c r="C794" s="15" t="s">
        <v>4362</v>
      </c>
    </row>
    <row r="795" spans="1:3" x14ac:dyDescent="0.2">
      <c r="A795" s="19" t="s">
        <v>4363</v>
      </c>
      <c r="B795" s="19" t="s">
        <v>4364</v>
      </c>
      <c r="C795" s="15" t="s">
        <v>4362</v>
      </c>
    </row>
    <row r="796" spans="1:3" x14ac:dyDescent="0.2">
      <c r="A796" s="19" t="s">
        <v>4365</v>
      </c>
      <c r="B796" s="19" t="s">
        <v>4365</v>
      </c>
      <c r="C796" s="15" t="s">
        <v>4366</v>
      </c>
    </row>
    <row r="797" spans="1:3" x14ac:dyDescent="0.2">
      <c r="A797" s="19" t="s">
        <v>4367</v>
      </c>
      <c r="B797" s="19" t="s">
        <v>4367</v>
      </c>
      <c r="C797" s="15" t="s">
        <v>4368</v>
      </c>
    </row>
    <row r="798" spans="1:3" x14ac:dyDescent="0.2">
      <c r="A798" s="19" t="s">
        <v>4369</v>
      </c>
      <c r="B798" s="19" t="s">
        <v>4370</v>
      </c>
      <c r="C798" s="15" t="s">
        <v>4371</v>
      </c>
    </row>
    <row r="799" spans="1:3" x14ac:dyDescent="0.2">
      <c r="A799" s="19" t="s">
        <v>4372</v>
      </c>
      <c r="B799" s="19" t="s">
        <v>4373</v>
      </c>
      <c r="C799" s="15" t="s">
        <v>4374</v>
      </c>
    </row>
    <row r="800" spans="1:3" x14ac:dyDescent="0.2">
      <c r="A800" s="19" t="s">
        <v>4375</v>
      </c>
      <c r="B800" s="19" t="s">
        <v>4375</v>
      </c>
      <c r="C800" s="15" t="s">
        <v>4376</v>
      </c>
    </row>
    <row r="801" spans="1:3" x14ac:dyDescent="0.2">
      <c r="A801" s="19" t="s">
        <v>4377</v>
      </c>
      <c r="B801" s="19" t="s">
        <v>4378</v>
      </c>
      <c r="C801" s="15" t="s">
        <v>4376</v>
      </c>
    </row>
    <row r="802" spans="1:3" x14ac:dyDescent="0.2">
      <c r="A802" s="19" t="s">
        <v>4379</v>
      </c>
      <c r="B802" s="19" t="s">
        <v>4379</v>
      </c>
      <c r="C802" s="15" t="s">
        <v>4380</v>
      </c>
    </row>
    <row r="803" spans="1:3" x14ac:dyDescent="0.2">
      <c r="A803" s="19" t="s">
        <v>4381</v>
      </c>
      <c r="B803" s="19" t="s">
        <v>4381</v>
      </c>
      <c r="C803" s="15" t="s">
        <v>4382</v>
      </c>
    </row>
    <row r="804" spans="1:3" x14ac:dyDescent="0.2">
      <c r="A804" s="19" t="s">
        <v>4383</v>
      </c>
      <c r="B804" s="19" t="s">
        <v>4384</v>
      </c>
      <c r="C804" s="15" t="s">
        <v>4382</v>
      </c>
    </row>
    <row r="805" spans="1:3" x14ac:dyDescent="0.2">
      <c r="A805" s="19" t="s">
        <v>4385</v>
      </c>
      <c r="B805" s="19" t="s">
        <v>4385</v>
      </c>
      <c r="C805" s="15" t="s">
        <v>4386</v>
      </c>
    </row>
    <row r="806" spans="1:3" x14ac:dyDescent="0.2">
      <c r="A806" s="19" t="s">
        <v>4387</v>
      </c>
      <c r="B806" s="19" t="s">
        <v>4388</v>
      </c>
      <c r="C806" s="15" t="s">
        <v>4386</v>
      </c>
    </row>
    <row r="807" spans="1:3" x14ac:dyDescent="0.2">
      <c r="A807" s="19" t="s">
        <v>4389</v>
      </c>
      <c r="B807" s="19" t="s">
        <v>4389</v>
      </c>
      <c r="C807" s="15" t="s">
        <v>4390</v>
      </c>
    </row>
    <row r="808" spans="1:3" x14ac:dyDescent="0.2">
      <c r="A808" s="19" t="s">
        <v>4391</v>
      </c>
      <c r="B808" s="19" t="s">
        <v>4392</v>
      </c>
      <c r="C808" s="15" t="s">
        <v>4390</v>
      </c>
    </row>
    <row r="809" spans="1:3" x14ac:dyDescent="0.2">
      <c r="A809" s="19" t="s">
        <v>4393</v>
      </c>
      <c r="B809" s="19" t="s">
        <v>4393</v>
      </c>
      <c r="C809" s="15" t="s">
        <v>4394</v>
      </c>
    </row>
    <row r="810" spans="1:3" x14ac:dyDescent="0.2">
      <c r="A810" s="19" t="s">
        <v>4395</v>
      </c>
      <c r="B810" s="19" t="s">
        <v>4396</v>
      </c>
      <c r="C810" s="15" t="s">
        <v>4394</v>
      </c>
    </row>
    <row r="811" spans="1:3" x14ac:dyDescent="0.2">
      <c r="A811" s="19" t="s">
        <v>4397</v>
      </c>
      <c r="B811" s="19" t="s">
        <v>4397</v>
      </c>
      <c r="C811" s="15" t="s">
        <v>4398</v>
      </c>
    </row>
    <row r="812" spans="1:3" x14ac:dyDescent="0.2">
      <c r="A812" s="19" t="s">
        <v>4399</v>
      </c>
      <c r="B812" s="19" t="s">
        <v>4399</v>
      </c>
      <c r="C812" s="15" t="s">
        <v>4398</v>
      </c>
    </row>
    <row r="813" spans="1:3" x14ac:dyDescent="0.2">
      <c r="A813" s="19" t="s">
        <v>4400</v>
      </c>
      <c r="B813" s="19" t="s">
        <v>4401</v>
      </c>
      <c r="C813" s="15" t="s">
        <v>4398</v>
      </c>
    </row>
    <row r="814" spans="1:3" x14ac:dyDescent="0.2">
      <c r="A814" s="19" t="s">
        <v>4402</v>
      </c>
      <c r="B814" s="19" t="s">
        <v>4402</v>
      </c>
      <c r="C814" s="15" t="s">
        <v>4403</v>
      </c>
    </row>
    <row r="815" spans="1:3" x14ac:dyDescent="0.2">
      <c r="A815" s="19" t="s">
        <v>4404</v>
      </c>
      <c r="B815" s="19" t="s">
        <v>4404</v>
      </c>
      <c r="C815" s="15" t="s">
        <v>4405</v>
      </c>
    </row>
    <row r="816" spans="1:3" x14ac:dyDescent="0.2">
      <c r="A816" s="19" t="s">
        <v>4406</v>
      </c>
      <c r="B816" s="19" t="s">
        <v>4406</v>
      </c>
      <c r="C816" s="15" t="s">
        <v>4407</v>
      </c>
    </row>
    <row r="817" spans="1:3" x14ac:dyDescent="0.2">
      <c r="A817" s="19" t="s">
        <v>4408</v>
      </c>
      <c r="B817" s="19" t="s">
        <v>4409</v>
      </c>
      <c r="C817" s="15" t="s">
        <v>4410</v>
      </c>
    </row>
    <row r="818" spans="1:3" x14ac:dyDescent="0.2">
      <c r="A818" s="19" t="s">
        <v>4411</v>
      </c>
      <c r="B818" s="19" t="s">
        <v>4412</v>
      </c>
      <c r="C818" s="15" t="s">
        <v>4413</v>
      </c>
    </row>
    <row r="819" spans="1:3" x14ac:dyDescent="0.2">
      <c r="A819" s="19" t="s">
        <v>4414</v>
      </c>
      <c r="B819" s="19" t="s">
        <v>4414</v>
      </c>
      <c r="C819" s="15" t="s">
        <v>4415</v>
      </c>
    </row>
    <row r="820" spans="1:3" x14ac:dyDescent="0.2">
      <c r="A820" s="19" t="s">
        <v>4416</v>
      </c>
      <c r="B820" s="19" t="s">
        <v>4417</v>
      </c>
      <c r="C820" s="15" t="s">
        <v>4418</v>
      </c>
    </row>
    <row r="821" spans="1:3" x14ac:dyDescent="0.2">
      <c r="A821" s="19" t="s">
        <v>4419</v>
      </c>
      <c r="B821" s="19" t="s">
        <v>4420</v>
      </c>
      <c r="C821" s="15" t="s">
        <v>4421</v>
      </c>
    </row>
    <row r="822" spans="1:3" x14ac:dyDescent="0.2">
      <c r="A822" s="19" t="s">
        <v>4422</v>
      </c>
      <c r="B822" s="19" t="s">
        <v>4423</v>
      </c>
      <c r="C822" s="15" t="s">
        <v>4424</v>
      </c>
    </row>
    <row r="823" spans="1:3" x14ac:dyDescent="0.2">
      <c r="A823" s="19" t="s">
        <v>4425</v>
      </c>
      <c r="B823" s="19" t="s">
        <v>4425</v>
      </c>
      <c r="C823" s="15" t="s">
        <v>4426</v>
      </c>
    </row>
    <row r="824" spans="1:3" x14ac:dyDescent="0.2">
      <c r="A824" s="19" t="s">
        <v>4427</v>
      </c>
      <c r="B824" s="19" t="s">
        <v>4428</v>
      </c>
      <c r="C824" s="15" t="s">
        <v>4429</v>
      </c>
    </row>
    <row r="825" spans="1:3" x14ac:dyDescent="0.2">
      <c r="A825" s="19" t="s">
        <v>4430</v>
      </c>
      <c r="B825" s="19" t="s">
        <v>4431</v>
      </c>
      <c r="C825" s="15" t="s">
        <v>4432</v>
      </c>
    </row>
    <row r="826" spans="1:3" x14ac:dyDescent="0.2">
      <c r="A826" s="19" t="s">
        <v>4433</v>
      </c>
      <c r="B826" s="19" t="s">
        <v>4434</v>
      </c>
      <c r="C826" s="15" t="s">
        <v>4435</v>
      </c>
    </row>
    <row r="827" spans="1:3" x14ac:dyDescent="0.2">
      <c r="A827" s="19" t="s">
        <v>4436</v>
      </c>
      <c r="B827" s="19" t="s">
        <v>4437</v>
      </c>
      <c r="C827" s="15" t="s">
        <v>4438</v>
      </c>
    </row>
    <row r="828" spans="1:3" x14ac:dyDescent="0.2">
      <c r="A828" s="19" t="s">
        <v>4439</v>
      </c>
      <c r="B828" s="19" t="s">
        <v>4440</v>
      </c>
      <c r="C828" s="15" t="s">
        <v>4441</v>
      </c>
    </row>
    <row r="829" spans="1:3" x14ac:dyDescent="0.2">
      <c r="A829" s="19" t="s">
        <v>4442</v>
      </c>
      <c r="B829" s="19" t="s">
        <v>4443</v>
      </c>
      <c r="C829" s="15" t="s">
        <v>4444</v>
      </c>
    </row>
    <row r="830" spans="1:3" x14ac:dyDescent="0.2">
      <c r="A830" s="19" t="s">
        <v>4445</v>
      </c>
      <c r="B830" s="19" t="s">
        <v>4445</v>
      </c>
      <c r="C830" s="15" t="s">
        <v>4446</v>
      </c>
    </row>
    <row r="831" spans="1:3" x14ac:dyDescent="0.2">
      <c r="A831" s="19" t="s">
        <v>4447</v>
      </c>
      <c r="B831" s="19" t="s">
        <v>4448</v>
      </c>
      <c r="C831" s="15" t="s">
        <v>4446</v>
      </c>
    </row>
    <row r="832" spans="1:3" x14ac:dyDescent="0.2">
      <c r="A832" s="19" t="s">
        <v>4449</v>
      </c>
      <c r="B832" s="19" t="s">
        <v>4449</v>
      </c>
      <c r="C832" s="15" t="s">
        <v>4450</v>
      </c>
    </row>
    <row r="833" spans="1:3" x14ac:dyDescent="0.2">
      <c r="A833" s="19" t="s">
        <v>4451</v>
      </c>
      <c r="B833" s="19" t="s">
        <v>4451</v>
      </c>
      <c r="C833" s="15" t="s">
        <v>4452</v>
      </c>
    </row>
    <row r="834" spans="1:3" x14ac:dyDescent="0.2">
      <c r="A834" s="19" t="s">
        <v>4453</v>
      </c>
      <c r="B834" s="19" t="s">
        <v>4454</v>
      </c>
      <c r="C834" s="15" t="s">
        <v>4452</v>
      </c>
    </row>
    <row r="835" spans="1:3" x14ac:dyDescent="0.2">
      <c r="A835" s="19" t="s">
        <v>4455</v>
      </c>
      <c r="B835" s="19" t="s">
        <v>4455</v>
      </c>
      <c r="C835" s="15" t="s">
        <v>4456</v>
      </c>
    </row>
    <row r="836" spans="1:3" x14ac:dyDescent="0.2">
      <c r="A836" s="19" t="s">
        <v>4457</v>
      </c>
      <c r="B836" s="19" t="s">
        <v>4458</v>
      </c>
      <c r="C836" s="15" t="s">
        <v>4456</v>
      </c>
    </row>
    <row r="837" spans="1:3" x14ac:dyDescent="0.2">
      <c r="A837" s="19" t="s">
        <v>4459</v>
      </c>
      <c r="B837" s="19" t="s">
        <v>4459</v>
      </c>
      <c r="C837" s="15" t="s">
        <v>4460</v>
      </c>
    </row>
    <row r="838" spans="1:3" x14ac:dyDescent="0.2">
      <c r="A838" s="19" t="s">
        <v>4461</v>
      </c>
      <c r="B838" s="19" t="s">
        <v>4462</v>
      </c>
      <c r="C838" s="15" t="s">
        <v>4460</v>
      </c>
    </row>
    <row r="839" spans="1:3" x14ac:dyDescent="0.2">
      <c r="A839" s="19" t="s">
        <v>4463</v>
      </c>
      <c r="B839" s="19" t="s">
        <v>4463</v>
      </c>
      <c r="C839" s="15" t="s">
        <v>4464</v>
      </c>
    </row>
    <row r="840" spans="1:3" x14ac:dyDescent="0.2">
      <c r="A840" s="19" t="s">
        <v>4465</v>
      </c>
      <c r="B840" s="19" t="s">
        <v>4465</v>
      </c>
      <c r="C840" s="15" t="s">
        <v>4466</v>
      </c>
    </row>
    <row r="841" spans="1:3" x14ac:dyDescent="0.2">
      <c r="A841" s="19" t="s">
        <v>4467</v>
      </c>
      <c r="B841" s="19" t="s">
        <v>4468</v>
      </c>
      <c r="C841" s="15" t="s">
        <v>4469</v>
      </c>
    </row>
    <row r="842" spans="1:3" x14ac:dyDescent="0.2">
      <c r="A842" s="19" t="s">
        <v>4470</v>
      </c>
      <c r="B842" s="19" t="s">
        <v>4471</v>
      </c>
      <c r="C842" s="15" t="s">
        <v>4472</v>
      </c>
    </row>
    <row r="843" spans="1:3" x14ac:dyDescent="0.2">
      <c r="A843" s="19" t="s">
        <v>4473</v>
      </c>
      <c r="B843" s="19" t="s">
        <v>4473</v>
      </c>
      <c r="C843" s="15" t="s">
        <v>4474</v>
      </c>
    </row>
    <row r="844" spans="1:3" x14ac:dyDescent="0.2">
      <c r="A844" s="19" t="s">
        <v>4475</v>
      </c>
      <c r="B844" s="19" t="s">
        <v>4476</v>
      </c>
      <c r="C844" s="15" t="s">
        <v>4474</v>
      </c>
    </row>
    <row r="845" spans="1:3" x14ac:dyDescent="0.2">
      <c r="A845" s="19" t="s">
        <v>4477</v>
      </c>
      <c r="B845" s="19" t="s">
        <v>4477</v>
      </c>
      <c r="C845" s="15" t="s">
        <v>4478</v>
      </c>
    </row>
    <row r="846" spans="1:3" x14ac:dyDescent="0.2">
      <c r="A846" s="19" t="s">
        <v>4479</v>
      </c>
      <c r="B846" s="19" t="s">
        <v>4479</v>
      </c>
      <c r="C846" s="15" t="s">
        <v>4480</v>
      </c>
    </row>
    <row r="847" spans="1:3" x14ac:dyDescent="0.2">
      <c r="A847" s="19" t="s">
        <v>4481</v>
      </c>
      <c r="B847" s="19" t="s">
        <v>4482</v>
      </c>
      <c r="C847" s="15" t="s">
        <v>4480</v>
      </c>
    </row>
    <row r="848" spans="1:3" x14ac:dyDescent="0.2">
      <c r="A848" s="19" t="s">
        <v>4483</v>
      </c>
      <c r="B848" s="19" t="s">
        <v>4483</v>
      </c>
      <c r="C848" s="15" t="s">
        <v>4484</v>
      </c>
    </row>
    <row r="849" spans="1:3" x14ac:dyDescent="0.2">
      <c r="A849" s="19" t="s">
        <v>4485</v>
      </c>
      <c r="B849" s="19" t="s">
        <v>4486</v>
      </c>
      <c r="C849" s="15" t="s">
        <v>4484</v>
      </c>
    </row>
    <row r="850" spans="1:3" x14ac:dyDescent="0.2">
      <c r="A850" s="19" t="s">
        <v>4487</v>
      </c>
      <c r="B850" s="19" t="s">
        <v>4487</v>
      </c>
      <c r="C850" s="15" t="s">
        <v>4488</v>
      </c>
    </row>
    <row r="851" spans="1:3" x14ac:dyDescent="0.2">
      <c r="A851" s="19" t="s">
        <v>4489</v>
      </c>
      <c r="B851" s="19" t="s">
        <v>4490</v>
      </c>
      <c r="C851" s="15" t="s">
        <v>4488</v>
      </c>
    </row>
    <row r="852" spans="1:3" x14ac:dyDescent="0.2">
      <c r="A852" s="19" t="s">
        <v>4491</v>
      </c>
      <c r="B852" s="19" t="s">
        <v>4491</v>
      </c>
      <c r="C852" s="15" t="s">
        <v>4492</v>
      </c>
    </row>
    <row r="853" spans="1:3" x14ac:dyDescent="0.2">
      <c r="A853" s="19" t="s">
        <v>4493</v>
      </c>
      <c r="B853" s="19" t="s">
        <v>4493</v>
      </c>
      <c r="C853" s="15" t="s">
        <v>4494</v>
      </c>
    </row>
    <row r="854" spans="1:3" x14ac:dyDescent="0.2">
      <c r="A854" s="19" t="s">
        <v>4495</v>
      </c>
      <c r="B854" s="19" t="s">
        <v>4496</v>
      </c>
      <c r="C854" s="15" t="s">
        <v>4494</v>
      </c>
    </row>
    <row r="855" spans="1:3" x14ac:dyDescent="0.2">
      <c r="A855" s="19" t="s">
        <v>4497</v>
      </c>
      <c r="B855" s="19" t="s">
        <v>4497</v>
      </c>
      <c r="C855" s="15" t="s">
        <v>4498</v>
      </c>
    </row>
    <row r="856" spans="1:3" x14ac:dyDescent="0.2">
      <c r="A856" s="19" t="s">
        <v>4499</v>
      </c>
      <c r="B856" s="19" t="s">
        <v>4500</v>
      </c>
      <c r="C856" s="15" t="s">
        <v>4501</v>
      </c>
    </row>
    <row r="857" spans="1:3" x14ac:dyDescent="0.2">
      <c r="A857" s="19" t="s">
        <v>4502</v>
      </c>
      <c r="B857" s="19" t="s">
        <v>4503</v>
      </c>
      <c r="C857" s="15" t="s">
        <v>4504</v>
      </c>
    </row>
    <row r="858" spans="1:3" x14ac:dyDescent="0.2">
      <c r="A858" s="19" t="s">
        <v>4505</v>
      </c>
      <c r="B858" s="19" t="s">
        <v>4506</v>
      </c>
      <c r="C858" s="15" t="s">
        <v>4507</v>
      </c>
    </row>
    <row r="859" spans="1:3" x14ac:dyDescent="0.2">
      <c r="A859" s="19" t="s">
        <v>4508</v>
      </c>
      <c r="B859" s="19" t="s">
        <v>4508</v>
      </c>
      <c r="C859" s="15" t="s">
        <v>4509</v>
      </c>
    </row>
    <row r="860" spans="1:3" x14ac:dyDescent="0.2">
      <c r="A860" s="19" t="s">
        <v>4510</v>
      </c>
      <c r="B860" s="19" t="s">
        <v>4511</v>
      </c>
      <c r="C860" s="15" t="s">
        <v>4509</v>
      </c>
    </row>
    <row r="861" spans="1:3" x14ac:dyDescent="0.2">
      <c r="A861" s="19" t="s">
        <v>4512</v>
      </c>
      <c r="B861" s="19" t="s">
        <v>4512</v>
      </c>
      <c r="C861" s="15" t="s">
        <v>4513</v>
      </c>
    </row>
    <row r="862" spans="1:3" x14ac:dyDescent="0.2">
      <c r="A862" s="19" t="s">
        <v>4514</v>
      </c>
      <c r="B862" s="19" t="s">
        <v>4514</v>
      </c>
      <c r="C862" s="15" t="s">
        <v>4515</v>
      </c>
    </row>
    <row r="863" spans="1:3" x14ac:dyDescent="0.2">
      <c r="A863" s="19" t="s">
        <v>4516</v>
      </c>
      <c r="B863" s="19" t="s">
        <v>4517</v>
      </c>
      <c r="C863" s="15" t="s">
        <v>4518</v>
      </c>
    </row>
    <row r="864" spans="1:3" x14ac:dyDescent="0.2">
      <c r="A864" s="19" t="s">
        <v>4519</v>
      </c>
      <c r="B864" s="19" t="s">
        <v>4520</v>
      </c>
      <c r="C864" s="15" t="s">
        <v>4521</v>
      </c>
    </row>
    <row r="865" spans="1:3" x14ac:dyDescent="0.2">
      <c r="A865" s="19" t="s">
        <v>4522</v>
      </c>
      <c r="B865" s="19" t="s">
        <v>4522</v>
      </c>
      <c r="C865" s="15" t="s">
        <v>4523</v>
      </c>
    </row>
    <row r="866" spans="1:3" x14ac:dyDescent="0.2">
      <c r="A866" s="19" t="s">
        <v>4524</v>
      </c>
      <c r="B866" s="19" t="s">
        <v>4525</v>
      </c>
      <c r="C866" s="15" t="s">
        <v>4523</v>
      </c>
    </row>
    <row r="867" spans="1:3" x14ac:dyDescent="0.2">
      <c r="A867" s="19" t="s">
        <v>4526</v>
      </c>
      <c r="B867" s="19" t="s">
        <v>4526</v>
      </c>
      <c r="C867" s="15" t="s">
        <v>4527</v>
      </c>
    </row>
    <row r="868" spans="1:3" x14ac:dyDescent="0.2">
      <c r="A868" s="19" t="s">
        <v>4528</v>
      </c>
      <c r="B868" s="19" t="s">
        <v>4529</v>
      </c>
      <c r="C868" s="15" t="s">
        <v>4527</v>
      </c>
    </row>
    <row r="869" spans="1:3" x14ac:dyDescent="0.2">
      <c r="A869" s="19" t="s">
        <v>4530</v>
      </c>
      <c r="B869" s="19" t="s">
        <v>4530</v>
      </c>
      <c r="C869" s="15" t="s">
        <v>4531</v>
      </c>
    </row>
    <row r="870" spans="1:3" x14ac:dyDescent="0.2">
      <c r="A870" s="19" t="s">
        <v>4532</v>
      </c>
      <c r="B870" s="19" t="s">
        <v>4533</v>
      </c>
      <c r="C870" s="15" t="s">
        <v>4534</v>
      </c>
    </row>
    <row r="871" spans="1:3" x14ac:dyDescent="0.2">
      <c r="A871" s="19" t="s">
        <v>4535</v>
      </c>
      <c r="B871" s="19" t="s">
        <v>4536</v>
      </c>
      <c r="C871" s="15" t="s">
        <v>4537</v>
      </c>
    </row>
    <row r="872" spans="1:3" x14ac:dyDescent="0.2">
      <c r="A872" s="19" t="s">
        <v>4538</v>
      </c>
      <c r="B872" s="19" t="s">
        <v>4539</v>
      </c>
      <c r="C872" s="15" t="s">
        <v>4540</v>
      </c>
    </row>
    <row r="873" spans="1:3" x14ac:dyDescent="0.2">
      <c r="A873" s="19" t="s">
        <v>4541</v>
      </c>
      <c r="B873" s="19" t="s">
        <v>4541</v>
      </c>
      <c r="C873" s="15" t="s">
        <v>4542</v>
      </c>
    </row>
    <row r="874" spans="1:3" x14ac:dyDescent="0.2">
      <c r="A874" s="19" t="s">
        <v>4543</v>
      </c>
      <c r="B874" s="19" t="s">
        <v>4543</v>
      </c>
      <c r="C874" s="15" t="s">
        <v>4542</v>
      </c>
    </row>
    <row r="875" spans="1:3" x14ac:dyDescent="0.2">
      <c r="A875" s="19" t="s">
        <v>4544</v>
      </c>
      <c r="B875" s="19" t="s">
        <v>4544</v>
      </c>
      <c r="C875" s="15" t="s">
        <v>4545</v>
      </c>
    </row>
    <row r="876" spans="1:3" x14ac:dyDescent="0.2">
      <c r="A876" s="19" t="s">
        <v>4546</v>
      </c>
      <c r="B876" s="19" t="s">
        <v>4547</v>
      </c>
      <c r="C876" s="15" t="s">
        <v>4548</v>
      </c>
    </row>
    <row r="877" spans="1:3" x14ac:dyDescent="0.2">
      <c r="A877" s="19" t="s">
        <v>4549</v>
      </c>
      <c r="B877" s="19" t="s">
        <v>4550</v>
      </c>
      <c r="C877" s="15" t="s">
        <v>4551</v>
      </c>
    </row>
    <row r="878" spans="1:3" x14ac:dyDescent="0.2">
      <c r="A878" s="19" t="s">
        <v>4552</v>
      </c>
      <c r="B878" s="19" t="s">
        <v>4553</v>
      </c>
      <c r="C878" s="15" t="s">
        <v>4554</v>
      </c>
    </row>
    <row r="879" spans="1:3" x14ac:dyDescent="0.2">
      <c r="A879" s="19" t="s">
        <v>4555</v>
      </c>
      <c r="B879" s="19" t="s">
        <v>4555</v>
      </c>
      <c r="C879" s="15" t="s">
        <v>4556</v>
      </c>
    </row>
    <row r="880" spans="1:3" x14ac:dyDescent="0.2">
      <c r="A880" s="19" t="s">
        <v>4557</v>
      </c>
      <c r="B880" s="19" t="s">
        <v>4558</v>
      </c>
      <c r="C880" s="15" t="s">
        <v>4559</v>
      </c>
    </row>
    <row r="881" spans="1:3" x14ac:dyDescent="0.2">
      <c r="A881" s="19" t="s">
        <v>4560</v>
      </c>
      <c r="B881" s="19" t="s">
        <v>4561</v>
      </c>
      <c r="C881" s="15" t="s">
        <v>4562</v>
      </c>
    </row>
    <row r="882" spans="1:3" x14ac:dyDescent="0.2">
      <c r="A882" s="19" t="s">
        <v>4563</v>
      </c>
      <c r="B882" s="19" t="s">
        <v>4564</v>
      </c>
      <c r="C882" s="15" t="s">
        <v>4565</v>
      </c>
    </row>
    <row r="883" spans="1:3" x14ac:dyDescent="0.2">
      <c r="A883" s="19" t="s">
        <v>4566</v>
      </c>
      <c r="B883" s="19" t="s">
        <v>4567</v>
      </c>
      <c r="C883" s="15" t="s">
        <v>4568</v>
      </c>
    </row>
    <row r="884" spans="1:3" x14ac:dyDescent="0.2">
      <c r="A884" s="19" t="s">
        <v>4569</v>
      </c>
      <c r="B884" s="19" t="s">
        <v>4570</v>
      </c>
      <c r="C884" s="15" t="s">
        <v>4571</v>
      </c>
    </row>
    <row r="885" spans="1:3" x14ac:dyDescent="0.2">
      <c r="A885" s="19" t="s">
        <v>4572</v>
      </c>
      <c r="B885" s="19" t="s">
        <v>4572</v>
      </c>
      <c r="C885" s="15" t="s">
        <v>4573</v>
      </c>
    </row>
    <row r="886" spans="1:3" x14ac:dyDescent="0.2">
      <c r="A886" s="19" t="s">
        <v>4574</v>
      </c>
      <c r="B886" s="19" t="s">
        <v>4575</v>
      </c>
      <c r="C886" s="15" t="s">
        <v>4573</v>
      </c>
    </row>
    <row r="887" spans="1:3" x14ac:dyDescent="0.2">
      <c r="A887" s="19" t="s">
        <v>4576</v>
      </c>
      <c r="B887" s="19" t="s">
        <v>4576</v>
      </c>
      <c r="C887" s="15" t="s">
        <v>4577</v>
      </c>
    </row>
    <row r="888" spans="1:3" x14ac:dyDescent="0.2">
      <c r="A888" s="19" t="s">
        <v>4578</v>
      </c>
      <c r="B888" s="19" t="s">
        <v>4578</v>
      </c>
      <c r="C888" s="15" t="s">
        <v>4577</v>
      </c>
    </row>
    <row r="889" spans="1:3" x14ac:dyDescent="0.2">
      <c r="A889" s="19" t="s">
        <v>4579</v>
      </c>
      <c r="B889" s="19" t="s">
        <v>4579</v>
      </c>
      <c r="C889" s="15" t="s">
        <v>4580</v>
      </c>
    </row>
    <row r="890" spans="1:3" x14ac:dyDescent="0.2">
      <c r="A890" s="19" t="s">
        <v>4581</v>
      </c>
      <c r="B890" s="19" t="s">
        <v>4582</v>
      </c>
      <c r="C890" s="15" t="s">
        <v>4580</v>
      </c>
    </row>
    <row r="891" spans="1:3" x14ac:dyDescent="0.2">
      <c r="A891" s="19" t="s">
        <v>4583</v>
      </c>
      <c r="B891" s="19" t="s">
        <v>4583</v>
      </c>
      <c r="C891" s="15" t="s">
        <v>4584</v>
      </c>
    </row>
    <row r="892" spans="1:3" x14ac:dyDescent="0.2">
      <c r="A892" s="19" t="s">
        <v>4585</v>
      </c>
      <c r="B892" s="19" t="s">
        <v>4586</v>
      </c>
      <c r="C892" s="15" t="s">
        <v>4584</v>
      </c>
    </row>
    <row r="893" spans="1:3" x14ac:dyDescent="0.2">
      <c r="A893" s="19" t="s">
        <v>4587</v>
      </c>
      <c r="B893" s="19" t="s">
        <v>4587</v>
      </c>
      <c r="C893" s="15" t="s">
        <v>4588</v>
      </c>
    </row>
    <row r="894" spans="1:3" x14ac:dyDescent="0.2">
      <c r="A894" s="19" t="s">
        <v>4589</v>
      </c>
      <c r="B894" s="19" t="s">
        <v>4590</v>
      </c>
      <c r="C894" s="15" t="s">
        <v>4591</v>
      </c>
    </row>
    <row r="895" spans="1:3" x14ac:dyDescent="0.2">
      <c r="A895" s="19" t="s">
        <v>4592</v>
      </c>
      <c r="B895" s="19" t="s">
        <v>4593</v>
      </c>
      <c r="C895" s="15" t="s">
        <v>4594</v>
      </c>
    </row>
    <row r="896" spans="1:3" x14ac:dyDescent="0.2">
      <c r="A896" s="19" t="s">
        <v>4595</v>
      </c>
      <c r="B896" s="19" t="s">
        <v>4595</v>
      </c>
      <c r="C896" s="15" t="s">
        <v>4596</v>
      </c>
    </row>
    <row r="897" spans="1:3" x14ac:dyDescent="0.2">
      <c r="A897" s="19" t="s">
        <v>4597</v>
      </c>
      <c r="B897" s="19" t="s">
        <v>4598</v>
      </c>
      <c r="C897" s="15" t="s">
        <v>4599</v>
      </c>
    </row>
    <row r="898" spans="1:3" x14ac:dyDescent="0.2">
      <c r="A898" s="19" t="s">
        <v>4600</v>
      </c>
      <c r="B898" s="19" t="s">
        <v>4601</v>
      </c>
      <c r="C898" s="15" t="s">
        <v>4602</v>
      </c>
    </row>
    <row r="899" spans="1:3" x14ac:dyDescent="0.2">
      <c r="A899" s="19" t="s">
        <v>4603</v>
      </c>
      <c r="B899" s="19" t="s">
        <v>4603</v>
      </c>
      <c r="C899" s="15" t="s">
        <v>4604</v>
      </c>
    </row>
    <row r="900" spans="1:3" x14ac:dyDescent="0.2">
      <c r="A900" s="19" t="s">
        <v>4605</v>
      </c>
      <c r="B900" s="19" t="s">
        <v>4606</v>
      </c>
      <c r="C900" s="15" t="s">
        <v>4607</v>
      </c>
    </row>
    <row r="901" spans="1:3" x14ac:dyDescent="0.2">
      <c r="A901" s="19" t="s">
        <v>4608</v>
      </c>
      <c r="B901" s="19" t="s">
        <v>4609</v>
      </c>
      <c r="C901" s="15" t="s">
        <v>4610</v>
      </c>
    </row>
    <row r="902" spans="1:3" x14ac:dyDescent="0.2">
      <c r="A902" s="19" t="s">
        <v>4611</v>
      </c>
      <c r="B902" s="19" t="s">
        <v>4612</v>
      </c>
      <c r="C902" s="15" t="s">
        <v>4613</v>
      </c>
    </row>
    <row r="903" spans="1:3" x14ac:dyDescent="0.2">
      <c r="A903" s="19" t="s">
        <v>4614</v>
      </c>
      <c r="B903" s="19" t="s">
        <v>4615</v>
      </c>
      <c r="C903" s="15" t="s">
        <v>4616</v>
      </c>
    </row>
    <row r="904" spans="1:3" x14ac:dyDescent="0.2">
      <c r="A904" s="19" t="s">
        <v>4617</v>
      </c>
      <c r="B904" s="19" t="s">
        <v>4617</v>
      </c>
      <c r="C904" s="15" t="s">
        <v>4618</v>
      </c>
    </row>
    <row r="905" spans="1:3" x14ac:dyDescent="0.2">
      <c r="A905" s="19" t="s">
        <v>4619</v>
      </c>
      <c r="B905" s="19" t="s">
        <v>4620</v>
      </c>
      <c r="C905" s="15" t="s">
        <v>4618</v>
      </c>
    </row>
    <row r="906" spans="1:3" x14ac:dyDescent="0.2">
      <c r="A906" s="19" t="s">
        <v>4621</v>
      </c>
      <c r="B906" s="19" t="s">
        <v>4621</v>
      </c>
      <c r="C906" s="15" t="s">
        <v>4622</v>
      </c>
    </row>
    <row r="907" spans="1:3" x14ac:dyDescent="0.2">
      <c r="A907" s="19" t="s">
        <v>4623</v>
      </c>
      <c r="B907" s="19" t="s">
        <v>4623</v>
      </c>
      <c r="C907" s="15" t="s">
        <v>4624</v>
      </c>
    </row>
    <row r="908" spans="1:3" x14ac:dyDescent="0.2">
      <c r="A908" s="19" t="s">
        <v>4625</v>
      </c>
      <c r="B908" s="19" t="s">
        <v>4625</v>
      </c>
      <c r="C908" s="15" t="s">
        <v>4626</v>
      </c>
    </row>
    <row r="909" spans="1:3" x14ac:dyDescent="0.2">
      <c r="A909" s="19" t="s">
        <v>4627</v>
      </c>
      <c r="B909" s="19" t="s">
        <v>4628</v>
      </c>
      <c r="C909" s="15" t="s">
        <v>4626</v>
      </c>
    </row>
    <row r="910" spans="1:3" x14ac:dyDescent="0.2">
      <c r="A910" s="19" t="s">
        <v>4629</v>
      </c>
      <c r="B910" s="19" t="s">
        <v>4629</v>
      </c>
      <c r="C910" s="15" t="s">
        <v>4630</v>
      </c>
    </row>
    <row r="911" spans="1:3" x14ac:dyDescent="0.2">
      <c r="A911" s="19" t="s">
        <v>4631</v>
      </c>
      <c r="B911" s="19" t="s">
        <v>4632</v>
      </c>
      <c r="C911" s="15" t="s">
        <v>4633</v>
      </c>
    </row>
    <row r="912" spans="1:3" x14ac:dyDescent="0.2">
      <c r="A912" s="19" t="s">
        <v>4634</v>
      </c>
      <c r="B912" s="19" t="s">
        <v>4635</v>
      </c>
      <c r="C912" s="15" t="s">
        <v>4636</v>
      </c>
    </row>
    <row r="913" spans="1:3" x14ac:dyDescent="0.2">
      <c r="A913" s="19" t="s">
        <v>4637</v>
      </c>
      <c r="B913" s="19" t="s">
        <v>4638</v>
      </c>
      <c r="C913" s="15" t="s">
        <v>4639</v>
      </c>
    </row>
    <row r="914" spans="1:3" x14ac:dyDescent="0.2">
      <c r="A914" s="19" t="s">
        <v>4640</v>
      </c>
      <c r="B914" s="19" t="s">
        <v>4640</v>
      </c>
      <c r="C914" s="15" t="s">
        <v>4641</v>
      </c>
    </row>
    <row r="915" spans="1:3" x14ac:dyDescent="0.2">
      <c r="A915" s="19" t="s">
        <v>4642</v>
      </c>
      <c r="B915" s="19" t="s">
        <v>4643</v>
      </c>
      <c r="C915" s="15" t="s">
        <v>4641</v>
      </c>
    </row>
    <row r="916" spans="1:3" x14ac:dyDescent="0.2">
      <c r="A916" s="19" t="s">
        <v>4644</v>
      </c>
      <c r="B916" s="19" t="s">
        <v>4644</v>
      </c>
      <c r="C916" s="15" t="s">
        <v>4645</v>
      </c>
    </row>
    <row r="917" spans="1:3" x14ac:dyDescent="0.2">
      <c r="A917" s="19" t="s">
        <v>4646</v>
      </c>
      <c r="B917" s="19" t="s">
        <v>4646</v>
      </c>
      <c r="C917" s="15" t="s">
        <v>4647</v>
      </c>
    </row>
    <row r="918" spans="1:3" x14ac:dyDescent="0.2">
      <c r="A918" s="19" t="s">
        <v>4648</v>
      </c>
      <c r="B918" s="19" t="s">
        <v>4649</v>
      </c>
      <c r="C918" s="15" t="s">
        <v>4647</v>
      </c>
    </row>
    <row r="919" spans="1:3" x14ac:dyDescent="0.2">
      <c r="A919" s="19" t="s">
        <v>4650</v>
      </c>
      <c r="B919" s="19" t="s">
        <v>4650</v>
      </c>
      <c r="C919" s="15" t="s">
        <v>4651</v>
      </c>
    </row>
    <row r="920" spans="1:3" x14ac:dyDescent="0.2">
      <c r="A920" s="19" t="s">
        <v>4652</v>
      </c>
      <c r="B920" s="19" t="s">
        <v>4653</v>
      </c>
      <c r="C920" s="15" t="s">
        <v>4651</v>
      </c>
    </row>
    <row r="921" spans="1:3" x14ac:dyDescent="0.2">
      <c r="A921" s="19" t="s">
        <v>4654</v>
      </c>
      <c r="B921" s="19" t="s">
        <v>4654</v>
      </c>
      <c r="C921" s="15" t="s">
        <v>4655</v>
      </c>
    </row>
    <row r="922" spans="1:3" x14ac:dyDescent="0.2">
      <c r="A922" s="19" t="s">
        <v>4656</v>
      </c>
      <c r="B922" s="19" t="s">
        <v>4657</v>
      </c>
      <c r="C922" s="15" t="s">
        <v>4655</v>
      </c>
    </row>
    <row r="923" spans="1:3" x14ac:dyDescent="0.2">
      <c r="A923" s="19" t="s">
        <v>4658</v>
      </c>
      <c r="B923" s="19" t="s">
        <v>4658</v>
      </c>
      <c r="C923" s="15" t="s">
        <v>4659</v>
      </c>
    </row>
    <row r="924" spans="1:3" x14ac:dyDescent="0.2">
      <c r="A924" s="19" t="s">
        <v>4660</v>
      </c>
      <c r="B924" s="19" t="s">
        <v>4661</v>
      </c>
      <c r="C924" s="15" t="s">
        <v>4659</v>
      </c>
    </row>
    <row r="925" spans="1:3" x14ac:dyDescent="0.2">
      <c r="A925" s="19" t="s">
        <v>4662</v>
      </c>
      <c r="B925" s="19" t="s">
        <v>4662</v>
      </c>
      <c r="C925" s="15" t="s">
        <v>4663</v>
      </c>
    </row>
    <row r="926" spans="1:3" x14ac:dyDescent="0.2">
      <c r="A926" s="19" t="s">
        <v>4664</v>
      </c>
      <c r="B926" s="19" t="s">
        <v>4664</v>
      </c>
      <c r="C926" s="15" t="s">
        <v>4665</v>
      </c>
    </row>
    <row r="927" spans="1:3" x14ac:dyDescent="0.2">
      <c r="A927" s="19" t="s">
        <v>4666</v>
      </c>
      <c r="B927" s="19" t="s">
        <v>4667</v>
      </c>
      <c r="C927" s="15" t="s">
        <v>4665</v>
      </c>
    </row>
    <row r="928" spans="1:3" x14ac:dyDescent="0.2">
      <c r="A928" s="19" t="s">
        <v>4668</v>
      </c>
      <c r="B928" s="19" t="s">
        <v>4668</v>
      </c>
      <c r="C928" s="15" t="s">
        <v>4669</v>
      </c>
    </row>
    <row r="929" spans="1:3" x14ac:dyDescent="0.2">
      <c r="A929" s="19" t="s">
        <v>4670</v>
      </c>
      <c r="B929" s="19" t="s">
        <v>4671</v>
      </c>
      <c r="C929" s="15" t="s">
        <v>4672</v>
      </c>
    </row>
    <row r="930" spans="1:3" x14ac:dyDescent="0.2">
      <c r="A930" s="19" t="s">
        <v>4673</v>
      </c>
      <c r="B930" s="19" t="s">
        <v>4674</v>
      </c>
      <c r="C930" s="15" t="s">
        <v>4675</v>
      </c>
    </row>
    <row r="931" spans="1:3" x14ac:dyDescent="0.2">
      <c r="A931" s="19" t="s">
        <v>4676</v>
      </c>
      <c r="B931" s="19" t="s">
        <v>4676</v>
      </c>
      <c r="C931" s="15" t="s">
        <v>4677</v>
      </c>
    </row>
    <row r="932" spans="1:3" x14ac:dyDescent="0.2">
      <c r="A932" s="19" t="s">
        <v>4678</v>
      </c>
      <c r="B932" s="19" t="s">
        <v>4678</v>
      </c>
      <c r="C932" s="15" t="s">
        <v>4679</v>
      </c>
    </row>
    <row r="933" spans="1:3" x14ac:dyDescent="0.2">
      <c r="A933" s="19" t="s">
        <v>4680</v>
      </c>
      <c r="B933" s="19" t="s">
        <v>4680</v>
      </c>
      <c r="C933" s="15" t="s">
        <v>4679</v>
      </c>
    </row>
    <row r="934" spans="1:3" x14ac:dyDescent="0.2">
      <c r="A934" s="19" t="s">
        <v>4681</v>
      </c>
      <c r="B934" s="19" t="s">
        <v>4682</v>
      </c>
      <c r="C934" s="15" t="s">
        <v>4683</v>
      </c>
    </row>
    <row r="935" spans="1:3" x14ac:dyDescent="0.2">
      <c r="A935" s="19" t="s">
        <v>4684</v>
      </c>
      <c r="B935" s="19" t="s">
        <v>4685</v>
      </c>
      <c r="C935" s="15" t="s">
        <v>4686</v>
      </c>
    </row>
    <row r="936" spans="1:3" x14ac:dyDescent="0.2">
      <c r="A936" s="19" t="s">
        <v>4687</v>
      </c>
      <c r="B936" s="19" t="s">
        <v>4688</v>
      </c>
      <c r="C936" s="15" t="s">
        <v>4689</v>
      </c>
    </row>
    <row r="937" spans="1:3" x14ac:dyDescent="0.2">
      <c r="A937" s="19" t="s">
        <v>4690</v>
      </c>
      <c r="B937" s="19" t="s">
        <v>4691</v>
      </c>
      <c r="C937" s="15" t="s">
        <v>4692</v>
      </c>
    </row>
    <row r="938" spans="1:3" x14ac:dyDescent="0.2">
      <c r="A938" s="19" t="s">
        <v>4693</v>
      </c>
      <c r="B938" s="19" t="s">
        <v>4693</v>
      </c>
      <c r="C938" s="15" t="s">
        <v>4694</v>
      </c>
    </row>
    <row r="939" spans="1:3" x14ac:dyDescent="0.2">
      <c r="A939" s="19" t="s">
        <v>4695</v>
      </c>
      <c r="B939" s="19" t="s">
        <v>4695</v>
      </c>
      <c r="C939" s="15" t="s">
        <v>4694</v>
      </c>
    </row>
    <row r="940" spans="1:3" x14ac:dyDescent="0.2">
      <c r="A940" s="19" t="s">
        <v>4696</v>
      </c>
      <c r="B940" s="19" t="s">
        <v>4697</v>
      </c>
      <c r="C940" s="15" t="s">
        <v>4698</v>
      </c>
    </row>
    <row r="941" spans="1:3" x14ac:dyDescent="0.2">
      <c r="A941" s="19" t="s">
        <v>4699</v>
      </c>
      <c r="B941" s="19" t="s">
        <v>4700</v>
      </c>
      <c r="C941" s="15" t="s">
        <v>4701</v>
      </c>
    </row>
    <row r="942" spans="1:3" x14ac:dyDescent="0.2">
      <c r="A942" s="19" t="s">
        <v>4702</v>
      </c>
      <c r="B942" s="19" t="s">
        <v>4703</v>
      </c>
      <c r="C942" s="15" t="s">
        <v>4704</v>
      </c>
    </row>
    <row r="943" spans="1:3" x14ac:dyDescent="0.2">
      <c r="A943" s="19" t="s">
        <v>4705</v>
      </c>
      <c r="B943" s="19" t="s">
        <v>4706</v>
      </c>
      <c r="C943" s="15" t="s">
        <v>4707</v>
      </c>
    </row>
    <row r="944" spans="1:3" x14ac:dyDescent="0.2">
      <c r="A944" s="19" t="s">
        <v>4708</v>
      </c>
      <c r="B944" s="19" t="s">
        <v>4708</v>
      </c>
      <c r="C944" s="15" t="s">
        <v>4709</v>
      </c>
    </row>
    <row r="945" spans="1:3" x14ac:dyDescent="0.2">
      <c r="A945" s="19" t="s">
        <v>4710</v>
      </c>
      <c r="B945" s="19" t="s">
        <v>4710</v>
      </c>
      <c r="C945" s="15" t="s">
        <v>4709</v>
      </c>
    </row>
    <row r="946" spans="1:3" x14ac:dyDescent="0.2">
      <c r="A946" s="19" t="s">
        <v>4711</v>
      </c>
      <c r="B946" s="19" t="s">
        <v>4712</v>
      </c>
      <c r="C946" s="15" t="s">
        <v>4709</v>
      </c>
    </row>
    <row r="947" spans="1:3" x14ac:dyDescent="0.2">
      <c r="A947" s="19" t="s">
        <v>4713</v>
      </c>
      <c r="B947" s="19" t="s">
        <v>4713</v>
      </c>
      <c r="C947" s="15" t="s">
        <v>4714</v>
      </c>
    </row>
    <row r="948" spans="1:3" x14ac:dyDescent="0.2">
      <c r="A948" s="19" t="s">
        <v>4715</v>
      </c>
      <c r="B948" s="19" t="s">
        <v>4715</v>
      </c>
      <c r="C948" s="15" t="s">
        <v>4716</v>
      </c>
    </row>
    <row r="949" spans="1:3" x14ac:dyDescent="0.2">
      <c r="A949" s="19" t="s">
        <v>4717</v>
      </c>
      <c r="B949" s="19" t="s">
        <v>4718</v>
      </c>
      <c r="C949" s="15" t="s">
        <v>4719</v>
      </c>
    </row>
    <row r="950" spans="1:3" x14ac:dyDescent="0.2">
      <c r="A950" s="19" t="s">
        <v>4720</v>
      </c>
      <c r="B950" s="19" t="s">
        <v>4721</v>
      </c>
      <c r="C950" s="15" t="s">
        <v>4722</v>
      </c>
    </row>
    <row r="951" spans="1:3" x14ac:dyDescent="0.2">
      <c r="A951" s="19" t="s">
        <v>4723</v>
      </c>
      <c r="B951" s="19" t="s">
        <v>4724</v>
      </c>
      <c r="C951" s="15" t="s">
        <v>4725</v>
      </c>
    </row>
    <row r="952" spans="1:3" x14ac:dyDescent="0.2">
      <c r="A952" s="19" t="s">
        <v>4726</v>
      </c>
      <c r="B952" s="19" t="s">
        <v>4727</v>
      </c>
      <c r="C952" s="15" t="s">
        <v>4728</v>
      </c>
    </row>
    <row r="953" spans="1:3" x14ac:dyDescent="0.2">
      <c r="A953" s="19" t="s">
        <v>4729</v>
      </c>
      <c r="B953" s="19" t="s">
        <v>4729</v>
      </c>
      <c r="C953" s="15" t="s">
        <v>4730</v>
      </c>
    </row>
    <row r="954" spans="1:3" x14ac:dyDescent="0.2">
      <c r="A954" s="19" t="s">
        <v>4731</v>
      </c>
      <c r="B954" s="19" t="s">
        <v>4732</v>
      </c>
      <c r="C954" s="15" t="s">
        <v>4733</v>
      </c>
    </row>
    <row r="955" spans="1:3" x14ac:dyDescent="0.2">
      <c r="A955" s="19" t="s">
        <v>4734</v>
      </c>
      <c r="B955" s="19" t="s">
        <v>4735</v>
      </c>
      <c r="C955" s="15" t="s">
        <v>4736</v>
      </c>
    </row>
    <row r="956" spans="1:3" x14ac:dyDescent="0.2">
      <c r="A956" s="19" t="s">
        <v>4737</v>
      </c>
      <c r="B956" s="19" t="s">
        <v>4737</v>
      </c>
      <c r="C956" s="15" t="s">
        <v>4738</v>
      </c>
    </row>
    <row r="957" spans="1:3" x14ac:dyDescent="0.2">
      <c r="A957" s="19" t="s">
        <v>4739</v>
      </c>
      <c r="B957" s="19" t="s">
        <v>4739</v>
      </c>
      <c r="C957" s="15" t="s">
        <v>4740</v>
      </c>
    </row>
    <row r="958" spans="1:3" x14ac:dyDescent="0.2">
      <c r="A958" s="19" t="s">
        <v>4741</v>
      </c>
      <c r="B958" s="19" t="s">
        <v>4741</v>
      </c>
      <c r="C958" s="15" t="s">
        <v>4742</v>
      </c>
    </row>
    <row r="959" spans="1:3" x14ac:dyDescent="0.2">
      <c r="A959" s="19" t="s">
        <v>4743</v>
      </c>
      <c r="B959" s="19" t="s">
        <v>4744</v>
      </c>
      <c r="C959" s="15" t="s">
        <v>4745</v>
      </c>
    </row>
    <row r="960" spans="1:3" x14ac:dyDescent="0.2">
      <c r="A960" s="19" t="s">
        <v>4746</v>
      </c>
      <c r="B960" s="19" t="s">
        <v>4747</v>
      </c>
      <c r="C960" s="15" t="s">
        <v>4748</v>
      </c>
    </row>
    <row r="961" spans="1:3" x14ac:dyDescent="0.2">
      <c r="A961" s="19" t="s">
        <v>4749</v>
      </c>
      <c r="B961" s="19" t="s">
        <v>4749</v>
      </c>
      <c r="C961" s="15" t="s">
        <v>4750</v>
      </c>
    </row>
    <row r="962" spans="1:3" x14ac:dyDescent="0.2">
      <c r="A962" s="19" t="s">
        <v>4751</v>
      </c>
      <c r="B962" s="19" t="s">
        <v>4752</v>
      </c>
      <c r="C962" s="15" t="s">
        <v>4750</v>
      </c>
    </row>
    <row r="963" spans="1:3" x14ac:dyDescent="0.2">
      <c r="A963" s="19" t="s">
        <v>4753</v>
      </c>
      <c r="B963" s="19" t="s">
        <v>4753</v>
      </c>
      <c r="C963" s="15" t="s">
        <v>4754</v>
      </c>
    </row>
    <row r="964" spans="1:3" x14ac:dyDescent="0.2">
      <c r="A964" s="19" t="s">
        <v>4755</v>
      </c>
      <c r="B964" s="19" t="s">
        <v>4756</v>
      </c>
      <c r="C964" s="15" t="s">
        <v>4757</v>
      </c>
    </row>
    <row r="965" spans="1:3" x14ac:dyDescent="0.2">
      <c r="A965" s="19" t="s">
        <v>4758</v>
      </c>
      <c r="B965" s="19" t="s">
        <v>4759</v>
      </c>
      <c r="C965" s="15" t="s">
        <v>4760</v>
      </c>
    </row>
    <row r="966" spans="1:3" x14ac:dyDescent="0.2">
      <c r="A966" s="19" t="s">
        <v>4761</v>
      </c>
      <c r="B966" s="19" t="s">
        <v>4762</v>
      </c>
      <c r="C966" s="15" t="s">
        <v>4763</v>
      </c>
    </row>
    <row r="967" spans="1:3" x14ac:dyDescent="0.2">
      <c r="A967" s="19" t="s">
        <v>4764</v>
      </c>
      <c r="B967" s="19" t="s">
        <v>4764</v>
      </c>
      <c r="C967" s="15" t="s">
        <v>4765</v>
      </c>
    </row>
    <row r="968" spans="1:3" x14ac:dyDescent="0.2">
      <c r="A968" s="19" t="s">
        <v>4766</v>
      </c>
      <c r="B968" s="19" t="s">
        <v>4766</v>
      </c>
      <c r="C968" s="15" t="s">
        <v>4767</v>
      </c>
    </row>
    <row r="969" spans="1:3" x14ac:dyDescent="0.2">
      <c r="A969" s="19" t="s">
        <v>4768</v>
      </c>
      <c r="B969" s="19" t="s">
        <v>4769</v>
      </c>
      <c r="C969" s="15" t="s">
        <v>4770</v>
      </c>
    </row>
    <row r="970" spans="1:3" x14ac:dyDescent="0.2">
      <c r="A970" s="19" t="s">
        <v>4771</v>
      </c>
      <c r="B970" s="19" t="s">
        <v>4772</v>
      </c>
      <c r="C970" s="15" t="s">
        <v>4773</v>
      </c>
    </row>
    <row r="971" spans="1:3" x14ac:dyDescent="0.2">
      <c r="A971" s="19" t="s">
        <v>4774</v>
      </c>
      <c r="B971" s="19" t="s">
        <v>4774</v>
      </c>
      <c r="C971" s="15" t="s">
        <v>4775</v>
      </c>
    </row>
    <row r="972" spans="1:3" x14ac:dyDescent="0.2">
      <c r="A972" s="19" t="s">
        <v>4776</v>
      </c>
      <c r="B972" s="19" t="s">
        <v>4777</v>
      </c>
      <c r="C972" s="15" t="s">
        <v>4778</v>
      </c>
    </row>
    <row r="973" spans="1:3" x14ac:dyDescent="0.2">
      <c r="A973" s="19" t="s">
        <v>4779</v>
      </c>
      <c r="B973" s="19" t="s">
        <v>4780</v>
      </c>
      <c r="C973" s="15" t="s">
        <v>4781</v>
      </c>
    </row>
    <row r="974" spans="1:3" x14ac:dyDescent="0.2">
      <c r="A974" s="19" t="s">
        <v>4782</v>
      </c>
      <c r="B974" s="19" t="s">
        <v>4783</v>
      </c>
      <c r="C974" s="15" t="s">
        <v>4784</v>
      </c>
    </row>
    <row r="975" spans="1:3" x14ac:dyDescent="0.2">
      <c r="A975" s="19" t="s">
        <v>4785</v>
      </c>
      <c r="B975" s="19" t="s">
        <v>4786</v>
      </c>
      <c r="C975" s="15" t="s">
        <v>4787</v>
      </c>
    </row>
    <row r="976" spans="1:3" x14ac:dyDescent="0.2">
      <c r="A976" s="19" t="s">
        <v>4788</v>
      </c>
      <c r="B976" s="19" t="s">
        <v>4789</v>
      </c>
      <c r="C976" s="15" t="s">
        <v>4790</v>
      </c>
    </row>
    <row r="977" spans="1:3" x14ac:dyDescent="0.2">
      <c r="A977" s="19" t="s">
        <v>4791</v>
      </c>
      <c r="B977" s="19" t="s">
        <v>4792</v>
      </c>
      <c r="C977" s="15" t="s">
        <v>4793</v>
      </c>
    </row>
    <row r="978" spans="1:3" x14ac:dyDescent="0.2">
      <c r="A978" s="19" t="s">
        <v>4794</v>
      </c>
      <c r="B978" s="19" t="s">
        <v>4794</v>
      </c>
      <c r="C978" s="15" t="s">
        <v>4795</v>
      </c>
    </row>
    <row r="979" spans="1:3" x14ac:dyDescent="0.2">
      <c r="A979" s="19" t="s">
        <v>4796</v>
      </c>
      <c r="B979" s="19" t="s">
        <v>4796</v>
      </c>
      <c r="C979" s="15" t="s">
        <v>4795</v>
      </c>
    </row>
    <row r="980" spans="1:3" x14ac:dyDescent="0.2">
      <c r="A980" s="19" t="s">
        <v>4797</v>
      </c>
      <c r="B980" s="19" t="s">
        <v>4798</v>
      </c>
      <c r="C980" s="15" t="s">
        <v>4799</v>
      </c>
    </row>
    <row r="981" spans="1:3" x14ac:dyDescent="0.2">
      <c r="A981" s="19" t="s">
        <v>4800</v>
      </c>
      <c r="B981" s="19" t="s">
        <v>4801</v>
      </c>
      <c r="C981" s="15" t="s">
        <v>4802</v>
      </c>
    </row>
    <row r="982" spans="1:3" x14ac:dyDescent="0.2">
      <c r="A982" s="19" t="s">
        <v>4803</v>
      </c>
      <c r="B982" s="19" t="s">
        <v>4804</v>
      </c>
      <c r="C982" s="15" t="s">
        <v>4805</v>
      </c>
    </row>
    <row r="983" spans="1:3" x14ac:dyDescent="0.2">
      <c r="A983" s="19" t="s">
        <v>4806</v>
      </c>
      <c r="B983" s="19" t="s">
        <v>4807</v>
      </c>
      <c r="C983" s="15" t="s">
        <v>4808</v>
      </c>
    </row>
    <row r="984" spans="1:3" x14ac:dyDescent="0.2">
      <c r="A984" s="19" t="s">
        <v>4809</v>
      </c>
      <c r="B984" s="19" t="s">
        <v>4810</v>
      </c>
      <c r="C984" s="15" t="s">
        <v>4811</v>
      </c>
    </row>
    <row r="985" spans="1:3" x14ac:dyDescent="0.2">
      <c r="A985" s="19" t="s">
        <v>4812</v>
      </c>
      <c r="B985" s="19" t="s">
        <v>4812</v>
      </c>
      <c r="C985" s="15" t="s">
        <v>4813</v>
      </c>
    </row>
    <row r="986" spans="1:3" x14ac:dyDescent="0.2">
      <c r="A986" s="19" t="s">
        <v>4814</v>
      </c>
      <c r="B986" s="19" t="s">
        <v>4814</v>
      </c>
      <c r="C986" s="15" t="s">
        <v>4815</v>
      </c>
    </row>
    <row r="987" spans="1:3" x14ac:dyDescent="0.2">
      <c r="A987" s="19" t="s">
        <v>4816</v>
      </c>
      <c r="B987" s="19" t="s">
        <v>4816</v>
      </c>
      <c r="C987" s="15" t="s">
        <v>4815</v>
      </c>
    </row>
    <row r="988" spans="1:3" x14ac:dyDescent="0.2">
      <c r="A988" s="19" t="s">
        <v>4817</v>
      </c>
      <c r="B988" s="19" t="s">
        <v>4818</v>
      </c>
      <c r="C988" s="15" t="s">
        <v>4815</v>
      </c>
    </row>
    <row r="989" spans="1:3" x14ac:dyDescent="0.2">
      <c r="A989" s="19" t="s">
        <v>4819</v>
      </c>
      <c r="B989" s="19" t="s">
        <v>4819</v>
      </c>
      <c r="C989" s="15" t="s">
        <v>4820</v>
      </c>
    </row>
    <row r="990" spans="1:3" x14ac:dyDescent="0.2">
      <c r="A990" s="19" t="s">
        <v>4821</v>
      </c>
      <c r="B990" s="19" t="s">
        <v>4821</v>
      </c>
      <c r="C990" s="15" t="s">
        <v>4822</v>
      </c>
    </row>
    <row r="991" spans="1:3" x14ac:dyDescent="0.2">
      <c r="A991" s="19" t="s">
        <v>4823</v>
      </c>
      <c r="B991" s="19" t="s">
        <v>4824</v>
      </c>
      <c r="C991" s="15" t="s">
        <v>4822</v>
      </c>
    </row>
    <row r="992" spans="1:3" x14ac:dyDescent="0.2">
      <c r="A992" s="19" t="s">
        <v>4825</v>
      </c>
      <c r="B992" s="19" t="s">
        <v>4825</v>
      </c>
      <c r="C992" s="15" t="s">
        <v>4826</v>
      </c>
    </row>
    <row r="993" spans="1:3" x14ac:dyDescent="0.2">
      <c r="A993" s="19" t="s">
        <v>4827</v>
      </c>
      <c r="B993" s="19" t="s">
        <v>4828</v>
      </c>
      <c r="C993" s="15" t="s">
        <v>4826</v>
      </c>
    </row>
    <row r="994" spans="1:3" x14ac:dyDescent="0.2">
      <c r="A994" s="19" t="s">
        <v>4829</v>
      </c>
      <c r="B994" s="19" t="s">
        <v>4829</v>
      </c>
      <c r="C994" s="15" t="s">
        <v>4830</v>
      </c>
    </row>
    <row r="995" spans="1:3" x14ac:dyDescent="0.2">
      <c r="A995" s="19" t="s">
        <v>4831</v>
      </c>
      <c r="B995" s="19" t="s">
        <v>4831</v>
      </c>
      <c r="C995" s="15" t="s">
        <v>4830</v>
      </c>
    </row>
    <row r="996" spans="1:3" x14ac:dyDescent="0.2">
      <c r="A996" s="19" t="s">
        <v>4832</v>
      </c>
      <c r="B996" s="19" t="s">
        <v>4832</v>
      </c>
      <c r="C996" s="15" t="s">
        <v>4830</v>
      </c>
    </row>
    <row r="997" spans="1:3" x14ac:dyDescent="0.2">
      <c r="A997" s="20" t="s">
        <v>4833</v>
      </c>
      <c r="B997" s="20" t="s">
        <v>4834</v>
      </c>
      <c r="C997" s="21" t="s">
        <v>4835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>
      <selection activeCell="C9" sqref="C9"/>
    </sheetView>
  </sheetViews>
  <sheetFormatPr baseColWidth="10" defaultRowHeight="15" x14ac:dyDescent="0.2"/>
  <sheetData>
    <row r="1" spans="1:3" x14ac:dyDescent="0.2">
      <c r="A1" s="17" t="s">
        <v>1484</v>
      </c>
      <c r="B1" s="17" t="s">
        <v>1987</v>
      </c>
      <c r="C1" s="17" t="s">
        <v>1485</v>
      </c>
    </row>
    <row r="2" spans="1:3" x14ac:dyDescent="0.2">
      <c r="A2" s="10">
        <v>0</v>
      </c>
      <c r="B2" s="10" t="s">
        <v>1988</v>
      </c>
      <c r="C2" s="10"/>
    </row>
    <row r="3" spans="1:3" x14ac:dyDescent="0.2">
      <c r="A3" s="10">
        <v>1</v>
      </c>
      <c r="B3" s="10" t="s">
        <v>2370</v>
      </c>
      <c r="C3" s="10" t="s">
        <v>31</v>
      </c>
    </row>
    <row r="4" spans="1:3" x14ac:dyDescent="0.2">
      <c r="A4" s="10">
        <v>2</v>
      </c>
      <c r="B4" s="10" t="s">
        <v>2372</v>
      </c>
      <c r="C4" s="10" t="s">
        <v>784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/>
  </sheetViews>
  <sheetFormatPr baseColWidth="10" defaultRowHeight="15" x14ac:dyDescent="0.2"/>
  <cols>
    <col min="1" max="1" width="53.1640625" bestFit="1" customWidth="1"/>
    <col min="2" max="2" width="55.1640625" customWidth="1"/>
    <col min="3" max="3" width="5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t="s">
        <v>4836</v>
      </c>
      <c r="B2" t="s">
        <v>4836</v>
      </c>
    </row>
    <row r="3" spans="1:2" x14ac:dyDescent="0.2">
      <c r="A3" t="s">
        <v>4837</v>
      </c>
      <c r="B3" t="s">
        <v>4837</v>
      </c>
    </row>
    <row r="4" spans="1:2" x14ac:dyDescent="0.2">
      <c r="A4" t="s">
        <v>4838</v>
      </c>
      <c r="B4" t="s">
        <v>4838</v>
      </c>
    </row>
    <row r="5" spans="1:2" x14ac:dyDescent="0.2">
      <c r="A5" t="s">
        <v>4839</v>
      </c>
      <c r="B5" t="s">
        <v>4839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06"/>
  <sheetViews>
    <sheetView topLeftCell="A11" workbookViewId="0">
      <selection activeCell="C205" sqref="C205"/>
    </sheetView>
  </sheetViews>
  <sheetFormatPr baseColWidth="10" defaultRowHeight="15" x14ac:dyDescent="0.2"/>
  <cols>
    <col min="1" max="1" width="24.1640625" customWidth="1"/>
    <col min="2" max="2" width="55.83203125" customWidth="1"/>
    <col min="3" max="3" width="56.164062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s="26" t="s">
        <v>4840</v>
      </c>
      <c r="B2" s="26" t="s">
        <v>4840</v>
      </c>
    </row>
    <row r="3" spans="1:2" x14ac:dyDescent="0.2">
      <c r="A3" s="26" t="s">
        <v>4841</v>
      </c>
      <c r="B3" s="26" t="s">
        <v>4841</v>
      </c>
    </row>
    <row r="4" spans="1:2" x14ac:dyDescent="0.2">
      <c r="A4" s="26" t="s">
        <v>4842</v>
      </c>
      <c r="B4" s="26" t="s">
        <v>4842</v>
      </c>
    </row>
    <row r="5" spans="1:2" x14ac:dyDescent="0.2">
      <c r="A5" t="s">
        <v>4843</v>
      </c>
      <c r="B5" t="s">
        <v>4843</v>
      </c>
    </row>
    <row r="6" spans="1:2" x14ac:dyDescent="0.2">
      <c r="A6" t="s">
        <v>4844</v>
      </c>
      <c r="B6" t="s">
        <v>4844</v>
      </c>
    </row>
    <row r="7" spans="1:2" x14ac:dyDescent="0.2">
      <c r="A7" s="26" t="s">
        <v>4845</v>
      </c>
      <c r="B7" s="26" t="s">
        <v>4845</v>
      </c>
    </row>
    <row r="8" spans="1:2" x14ac:dyDescent="0.2">
      <c r="A8" t="s">
        <v>4846</v>
      </c>
      <c r="B8" t="s">
        <v>4846</v>
      </c>
    </row>
    <row r="9" spans="1:2" x14ac:dyDescent="0.2">
      <c r="A9" t="s">
        <v>4847</v>
      </c>
      <c r="B9" t="s">
        <v>4847</v>
      </c>
    </row>
    <row r="10" spans="1:2" x14ac:dyDescent="0.2">
      <c r="A10" t="s">
        <v>4848</v>
      </c>
      <c r="B10" t="s">
        <v>4848</v>
      </c>
    </row>
    <row r="11" spans="1:2" x14ac:dyDescent="0.2">
      <c r="A11" t="s">
        <v>4849</v>
      </c>
      <c r="B11" t="s">
        <v>4849</v>
      </c>
    </row>
    <row r="12" spans="1:2" x14ac:dyDescent="0.2">
      <c r="A12" s="26" t="s">
        <v>4850</v>
      </c>
      <c r="B12" s="26" t="s">
        <v>4850</v>
      </c>
    </row>
    <row r="13" spans="1:2" x14ac:dyDescent="0.2">
      <c r="A13" t="s">
        <v>4851</v>
      </c>
      <c r="B13" t="s">
        <v>4851</v>
      </c>
    </row>
    <row r="14" spans="1:2" x14ac:dyDescent="0.2">
      <c r="A14" t="s">
        <v>4852</v>
      </c>
      <c r="B14" t="s">
        <v>4852</v>
      </c>
    </row>
    <row r="15" spans="1:2" x14ac:dyDescent="0.2">
      <c r="A15" t="s">
        <v>4853</v>
      </c>
      <c r="B15" t="s">
        <v>4853</v>
      </c>
    </row>
    <row r="16" spans="1:2" x14ac:dyDescent="0.2">
      <c r="A16" t="s">
        <v>4854</v>
      </c>
      <c r="B16" t="s">
        <v>4854</v>
      </c>
    </row>
    <row r="17" spans="1:2" x14ac:dyDescent="0.2">
      <c r="A17" t="s">
        <v>4855</v>
      </c>
      <c r="B17" t="s">
        <v>4855</v>
      </c>
    </row>
    <row r="18" spans="1:2" x14ac:dyDescent="0.2">
      <c r="A18" t="s">
        <v>4856</v>
      </c>
      <c r="B18" t="s">
        <v>4856</v>
      </c>
    </row>
    <row r="19" spans="1:2" x14ac:dyDescent="0.2">
      <c r="A19" t="s">
        <v>4857</v>
      </c>
      <c r="B19" t="s">
        <v>4857</v>
      </c>
    </row>
    <row r="20" spans="1:2" x14ac:dyDescent="0.2">
      <c r="A20" s="26" t="s">
        <v>4858</v>
      </c>
      <c r="B20" s="26" t="s">
        <v>4858</v>
      </c>
    </row>
    <row r="21" spans="1:2" x14ac:dyDescent="0.2">
      <c r="A21" t="s">
        <v>4859</v>
      </c>
      <c r="B21" t="s">
        <v>4859</v>
      </c>
    </row>
    <row r="22" spans="1:2" x14ac:dyDescent="0.2">
      <c r="A22" t="s">
        <v>4860</v>
      </c>
      <c r="B22" t="s">
        <v>4860</v>
      </c>
    </row>
    <row r="23" spans="1:2" x14ac:dyDescent="0.2">
      <c r="A23" t="s">
        <v>4861</v>
      </c>
      <c r="B23" t="s">
        <v>4861</v>
      </c>
    </row>
    <row r="24" spans="1:2" x14ac:dyDescent="0.2">
      <c r="A24" t="s">
        <v>4862</v>
      </c>
      <c r="B24" t="s">
        <v>4862</v>
      </c>
    </row>
    <row r="25" spans="1:2" x14ac:dyDescent="0.2">
      <c r="A25" t="s">
        <v>4863</v>
      </c>
      <c r="B25" t="s">
        <v>4863</v>
      </c>
    </row>
    <row r="26" spans="1:2" x14ac:dyDescent="0.2">
      <c r="A26" s="26" t="s">
        <v>4864</v>
      </c>
      <c r="B26" s="26" t="s">
        <v>4864</v>
      </c>
    </row>
    <row r="27" spans="1:2" x14ac:dyDescent="0.2">
      <c r="A27" t="s">
        <v>4865</v>
      </c>
      <c r="B27" t="s">
        <v>4865</v>
      </c>
    </row>
    <row r="28" spans="1:2" x14ac:dyDescent="0.2">
      <c r="A28" t="s">
        <v>4866</v>
      </c>
      <c r="B28" t="s">
        <v>4866</v>
      </c>
    </row>
    <row r="29" spans="1:2" x14ac:dyDescent="0.2">
      <c r="A29" t="s">
        <v>4867</v>
      </c>
      <c r="B29" t="s">
        <v>4867</v>
      </c>
    </row>
    <row r="30" spans="1:2" x14ac:dyDescent="0.2">
      <c r="A30" t="s">
        <v>4868</v>
      </c>
      <c r="B30" t="s">
        <v>4868</v>
      </c>
    </row>
    <row r="31" spans="1:2" x14ac:dyDescent="0.2">
      <c r="A31" t="s">
        <v>4869</v>
      </c>
      <c r="B31" t="s">
        <v>4869</v>
      </c>
    </row>
    <row r="32" spans="1:2" x14ac:dyDescent="0.2">
      <c r="A32" t="s">
        <v>4870</v>
      </c>
      <c r="B32" t="s">
        <v>4870</v>
      </c>
    </row>
    <row r="33" spans="1:2" x14ac:dyDescent="0.2">
      <c r="A33" t="s">
        <v>4871</v>
      </c>
      <c r="B33" t="s">
        <v>4871</v>
      </c>
    </row>
    <row r="34" spans="1:2" x14ac:dyDescent="0.2">
      <c r="A34" t="s">
        <v>4872</v>
      </c>
      <c r="B34" t="s">
        <v>4872</v>
      </c>
    </row>
    <row r="35" spans="1:2" x14ac:dyDescent="0.2">
      <c r="A35" t="s">
        <v>4873</v>
      </c>
      <c r="B35" t="s">
        <v>4873</v>
      </c>
    </row>
    <row r="36" spans="1:2" x14ac:dyDescent="0.2">
      <c r="A36" t="s">
        <v>4874</v>
      </c>
      <c r="B36" t="s">
        <v>4874</v>
      </c>
    </row>
    <row r="37" spans="1:2" x14ac:dyDescent="0.2">
      <c r="A37" t="s">
        <v>4875</v>
      </c>
      <c r="B37" t="s">
        <v>4875</v>
      </c>
    </row>
    <row r="38" spans="1:2" x14ac:dyDescent="0.2">
      <c r="A38" t="s">
        <v>4876</v>
      </c>
      <c r="B38" t="s">
        <v>4876</v>
      </c>
    </row>
    <row r="39" spans="1:2" x14ac:dyDescent="0.2">
      <c r="A39" s="26" t="s">
        <v>4877</v>
      </c>
      <c r="B39" s="26" t="s">
        <v>4877</v>
      </c>
    </row>
    <row r="40" spans="1:2" x14ac:dyDescent="0.2">
      <c r="A40" t="s">
        <v>4878</v>
      </c>
      <c r="B40" t="s">
        <v>4878</v>
      </c>
    </row>
    <row r="41" spans="1:2" x14ac:dyDescent="0.2">
      <c r="A41" t="s">
        <v>4879</v>
      </c>
      <c r="B41" t="s">
        <v>4879</v>
      </c>
    </row>
    <row r="42" spans="1:2" x14ac:dyDescent="0.2">
      <c r="A42" t="s">
        <v>4880</v>
      </c>
      <c r="B42" t="s">
        <v>4880</v>
      </c>
    </row>
    <row r="43" spans="1:2" x14ac:dyDescent="0.2">
      <c r="A43" t="s">
        <v>4881</v>
      </c>
      <c r="B43" t="s">
        <v>4881</v>
      </c>
    </row>
    <row r="44" spans="1:2" x14ac:dyDescent="0.2">
      <c r="A44" t="s">
        <v>4882</v>
      </c>
      <c r="B44" t="s">
        <v>4882</v>
      </c>
    </row>
    <row r="45" spans="1:2" x14ac:dyDescent="0.2">
      <c r="A45" t="s">
        <v>4883</v>
      </c>
      <c r="B45" t="s">
        <v>4883</v>
      </c>
    </row>
    <row r="46" spans="1:2" x14ac:dyDescent="0.2">
      <c r="A46" t="s">
        <v>4884</v>
      </c>
      <c r="B46" t="s">
        <v>4884</v>
      </c>
    </row>
    <row r="47" spans="1:2" x14ac:dyDescent="0.2">
      <c r="A47" t="s">
        <v>4885</v>
      </c>
      <c r="B47" t="s">
        <v>4885</v>
      </c>
    </row>
    <row r="48" spans="1:2" x14ac:dyDescent="0.2">
      <c r="A48" t="s">
        <v>4886</v>
      </c>
      <c r="B48" t="s">
        <v>4886</v>
      </c>
    </row>
    <row r="49" spans="1:2" x14ac:dyDescent="0.2">
      <c r="A49" t="s">
        <v>4887</v>
      </c>
      <c r="B49" t="s">
        <v>4887</v>
      </c>
    </row>
    <row r="50" spans="1:2" x14ac:dyDescent="0.2">
      <c r="A50" t="s">
        <v>4888</v>
      </c>
      <c r="B50" t="s">
        <v>4888</v>
      </c>
    </row>
    <row r="51" spans="1:2" x14ac:dyDescent="0.2">
      <c r="A51" t="s">
        <v>4889</v>
      </c>
      <c r="B51" t="s">
        <v>4889</v>
      </c>
    </row>
    <row r="52" spans="1:2" x14ac:dyDescent="0.2">
      <c r="A52" s="26" t="s">
        <v>4890</v>
      </c>
      <c r="B52" s="26" t="s">
        <v>4890</v>
      </c>
    </row>
    <row r="53" spans="1:2" x14ac:dyDescent="0.2">
      <c r="A53" t="s">
        <v>4891</v>
      </c>
      <c r="B53" t="s">
        <v>4891</v>
      </c>
    </row>
    <row r="54" spans="1:2" x14ac:dyDescent="0.2">
      <c r="A54" t="s">
        <v>2247</v>
      </c>
      <c r="B54" t="s">
        <v>2247</v>
      </c>
    </row>
    <row r="55" spans="1:2" x14ac:dyDescent="0.2">
      <c r="A55" t="s">
        <v>4892</v>
      </c>
      <c r="B55" t="s">
        <v>4892</v>
      </c>
    </row>
    <row r="56" spans="1:2" x14ac:dyDescent="0.2">
      <c r="A56" t="s">
        <v>4893</v>
      </c>
      <c r="B56" t="s">
        <v>4893</v>
      </c>
    </row>
    <row r="57" spans="1:2" x14ac:dyDescent="0.2">
      <c r="A57" s="26" t="s">
        <v>4894</v>
      </c>
      <c r="B57" s="26" t="s">
        <v>4894</v>
      </c>
    </row>
    <row r="58" spans="1:2" x14ac:dyDescent="0.2">
      <c r="A58" t="s">
        <v>4895</v>
      </c>
      <c r="B58" t="s">
        <v>4895</v>
      </c>
    </row>
    <row r="59" spans="1:2" x14ac:dyDescent="0.2">
      <c r="A59" t="s">
        <v>4896</v>
      </c>
      <c r="B59" t="s">
        <v>4896</v>
      </c>
    </row>
    <row r="60" spans="1:2" x14ac:dyDescent="0.2">
      <c r="A60" t="s">
        <v>4897</v>
      </c>
      <c r="B60" t="s">
        <v>4897</v>
      </c>
    </row>
    <row r="61" spans="1:2" x14ac:dyDescent="0.2">
      <c r="A61" t="s">
        <v>4898</v>
      </c>
      <c r="B61" t="s">
        <v>4898</v>
      </c>
    </row>
    <row r="62" spans="1:2" x14ac:dyDescent="0.2">
      <c r="A62" t="s">
        <v>4899</v>
      </c>
      <c r="B62" t="s">
        <v>4899</v>
      </c>
    </row>
    <row r="63" spans="1:2" x14ac:dyDescent="0.2">
      <c r="A63" t="s">
        <v>4900</v>
      </c>
      <c r="B63" t="s">
        <v>4900</v>
      </c>
    </row>
    <row r="64" spans="1:2" x14ac:dyDescent="0.2">
      <c r="A64" t="s">
        <v>4901</v>
      </c>
      <c r="B64" t="s">
        <v>4901</v>
      </c>
    </row>
    <row r="65" spans="1:2" x14ac:dyDescent="0.2">
      <c r="A65" t="s">
        <v>4902</v>
      </c>
      <c r="B65" t="s">
        <v>4902</v>
      </c>
    </row>
    <row r="66" spans="1:2" x14ac:dyDescent="0.2">
      <c r="A66" t="s">
        <v>4903</v>
      </c>
      <c r="B66" t="s">
        <v>4903</v>
      </c>
    </row>
    <row r="67" spans="1:2" x14ac:dyDescent="0.2">
      <c r="A67" t="s">
        <v>4904</v>
      </c>
      <c r="B67" t="s">
        <v>4904</v>
      </c>
    </row>
    <row r="68" spans="1:2" x14ac:dyDescent="0.2">
      <c r="A68" t="s">
        <v>4905</v>
      </c>
      <c r="B68" t="s">
        <v>4905</v>
      </c>
    </row>
    <row r="69" spans="1:2" x14ac:dyDescent="0.2">
      <c r="A69" t="s">
        <v>4906</v>
      </c>
      <c r="B69" t="s">
        <v>4906</v>
      </c>
    </row>
    <row r="70" spans="1:2" x14ac:dyDescent="0.2">
      <c r="A70" t="s">
        <v>4907</v>
      </c>
      <c r="B70" t="s">
        <v>4907</v>
      </c>
    </row>
    <row r="71" spans="1:2" x14ac:dyDescent="0.2">
      <c r="A71" t="s">
        <v>4908</v>
      </c>
      <c r="B71" t="s">
        <v>4908</v>
      </c>
    </row>
    <row r="72" spans="1:2" x14ac:dyDescent="0.2">
      <c r="A72" t="s">
        <v>4909</v>
      </c>
      <c r="B72" t="s">
        <v>4909</v>
      </c>
    </row>
    <row r="73" spans="1:2" x14ac:dyDescent="0.2">
      <c r="A73" t="s">
        <v>4910</v>
      </c>
      <c r="B73" t="s">
        <v>4910</v>
      </c>
    </row>
    <row r="74" spans="1:2" x14ac:dyDescent="0.2">
      <c r="A74" t="s">
        <v>4911</v>
      </c>
      <c r="B74" t="s">
        <v>4911</v>
      </c>
    </row>
    <row r="75" spans="1:2" x14ac:dyDescent="0.2">
      <c r="A75" t="s">
        <v>4912</v>
      </c>
      <c r="B75" t="s">
        <v>4912</v>
      </c>
    </row>
    <row r="76" spans="1:2" x14ac:dyDescent="0.2">
      <c r="A76" t="s">
        <v>4913</v>
      </c>
      <c r="B76" t="s">
        <v>4913</v>
      </c>
    </row>
    <row r="77" spans="1:2" x14ac:dyDescent="0.2">
      <c r="A77" t="s">
        <v>4914</v>
      </c>
      <c r="B77" t="s">
        <v>4914</v>
      </c>
    </row>
    <row r="78" spans="1:2" x14ac:dyDescent="0.2">
      <c r="A78" t="s">
        <v>4915</v>
      </c>
      <c r="B78" t="s">
        <v>4915</v>
      </c>
    </row>
    <row r="79" spans="1:2" x14ac:dyDescent="0.2">
      <c r="A79" t="s">
        <v>4916</v>
      </c>
      <c r="B79" t="s">
        <v>4916</v>
      </c>
    </row>
    <row r="80" spans="1:2" x14ac:dyDescent="0.2">
      <c r="A80" t="s">
        <v>4917</v>
      </c>
      <c r="B80" t="s">
        <v>4917</v>
      </c>
    </row>
    <row r="81" spans="1:2" x14ac:dyDescent="0.2">
      <c r="A81" t="s">
        <v>4918</v>
      </c>
      <c r="B81" t="s">
        <v>4918</v>
      </c>
    </row>
    <row r="82" spans="1:2" x14ac:dyDescent="0.2">
      <c r="A82" t="s">
        <v>4919</v>
      </c>
      <c r="B82" t="s">
        <v>4919</v>
      </c>
    </row>
    <row r="83" spans="1:2" x14ac:dyDescent="0.2">
      <c r="A83" t="s">
        <v>4920</v>
      </c>
      <c r="B83" t="s">
        <v>4920</v>
      </c>
    </row>
    <row r="84" spans="1:2" x14ac:dyDescent="0.2">
      <c r="A84" s="26" t="s">
        <v>4921</v>
      </c>
      <c r="B84" s="26" t="s">
        <v>4921</v>
      </c>
    </row>
    <row r="85" spans="1:2" x14ac:dyDescent="0.2">
      <c r="A85" t="s">
        <v>4922</v>
      </c>
      <c r="B85" t="s">
        <v>4922</v>
      </c>
    </row>
    <row r="86" spans="1:2" x14ac:dyDescent="0.2">
      <c r="A86" s="26" t="s">
        <v>4923</v>
      </c>
      <c r="B86" s="26" t="s">
        <v>4923</v>
      </c>
    </row>
    <row r="87" spans="1:2" x14ac:dyDescent="0.2">
      <c r="A87" t="s">
        <v>4924</v>
      </c>
      <c r="B87" t="s">
        <v>4924</v>
      </c>
    </row>
    <row r="88" spans="1:2" x14ac:dyDescent="0.2">
      <c r="A88" t="s">
        <v>4925</v>
      </c>
      <c r="B88" t="s">
        <v>4925</v>
      </c>
    </row>
    <row r="89" spans="1:2" x14ac:dyDescent="0.2">
      <c r="A89" t="s">
        <v>4926</v>
      </c>
      <c r="B89" t="s">
        <v>4926</v>
      </c>
    </row>
    <row r="90" spans="1:2" x14ac:dyDescent="0.2">
      <c r="A90" t="s">
        <v>4927</v>
      </c>
      <c r="B90" t="s">
        <v>4927</v>
      </c>
    </row>
    <row r="91" spans="1:2" x14ac:dyDescent="0.2">
      <c r="A91" s="26" t="s">
        <v>4928</v>
      </c>
      <c r="B91" s="26" t="s">
        <v>4928</v>
      </c>
    </row>
    <row r="92" spans="1:2" x14ac:dyDescent="0.2">
      <c r="A92" s="26" t="s">
        <v>4929</v>
      </c>
      <c r="B92" s="26" t="s">
        <v>4929</v>
      </c>
    </row>
    <row r="93" spans="1:2" x14ac:dyDescent="0.2">
      <c r="A93" s="26" t="s">
        <v>4930</v>
      </c>
      <c r="B93" s="26" t="s">
        <v>4930</v>
      </c>
    </row>
    <row r="94" spans="1:2" x14ac:dyDescent="0.2">
      <c r="A94" t="s">
        <v>4931</v>
      </c>
      <c r="B94" t="s">
        <v>4931</v>
      </c>
    </row>
    <row r="95" spans="1:2" x14ac:dyDescent="0.2">
      <c r="A95" t="s">
        <v>4932</v>
      </c>
      <c r="B95" t="s">
        <v>4932</v>
      </c>
    </row>
    <row r="96" spans="1:2" x14ac:dyDescent="0.2">
      <c r="A96" t="s">
        <v>4933</v>
      </c>
      <c r="B96" t="s">
        <v>4933</v>
      </c>
    </row>
    <row r="97" spans="1:2" x14ac:dyDescent="0.2">
      <c r="A97" t="s">
        <v>4934</v>
      </c>
      <c r="B97" t="s">
        <v>4934</v>
      </c>
    </row>
    <row r="98" spans="1:2" x14ac:dyDescent="0.2">
      <c r="A98" t="s">
        <v>4935</v>
      </c>
      <c r="B98" t="s">
        <v>4935</v>
      </c>
    </row>
    <row r="99" spans="1:2" x14ac:dyDescent="0.2">
      <c r="A99" t="s">
        <v>4936</v>
      </c>
      <c r="B99" t="s">
        <v>4936</v>
      </c>
    </row>
    <row r="100" spans="1:2" x14ac:dyDescent="0.2">
      <c r="A100" s="26" t="s">
        <v>4937</v>
      </c>
      <c r="B100" s="26" t="s">
        <v>4937</v>
      </c>
    </row>
    <row r="101" spans="1:2" x14ac:dyDescent="0.2">
      <c r="A101" s="26" t="s">
        <v>4938</v>
      </c>
      <c r="B101" s="26" t="s">
        <v>4938</v>
      </c>
    </row>
    <row r="102" spans="1:2" x14ac:dyDescent="0.2">
      <c r="A102" t="s">
        <v>4939</v>
      </c>
      <c r="B102" t="s">
        <v>4939</v>
      </c>
    </row>
    <row r="103" spans="1:2" x14ac:dyDescent="0.2">
      <c r="A103" t="s">
        <v>4940</v>
      </c>
      <c r="B103" t="s">
        <v>4940</v>
      </c>
    </row>
    <row r="104" spans="1:2" x14ac:dyDescent="0.2">
      <c r="A104" t="s">
        <v>4941</v>
      </c>
      <c r="B104" t="s">
        <v>4941</v>
      </c>
    </row>
    <row r="105" spans="1:2" x14ac:dyDescent="0.2">
      <c r="A105" t="s">
        <v>4942</v>
      </c>
      <c r="B105" t="s">
        <v>4942</v>
      </c>
    </row>
    <row r="106" spans="1:2" x14ac:dyDescent="0.2">
      <c r="A106" t="s">
        <v>4943</v>
      </c>
      <c r="B106" t="s">
        <v>4943</v>
      </c>
    </row>
    <row r="107" spans="1:2" x14ac:dyDescent="0.2">
      <c r="A107" t="s">
        <v>4944</v>
      </c>
      <c r="B107" t="s">
        <v>4944</v>
      </c>
    </row>
    <row r="108" spans="1:2" x14ac:dyDescent="0.2">
      <c r="A108" t="s">
        <v>4945</v>
      </c>
      <c r="B108" t="s">
        <v>4945</v>
      </c>
    </row>
    <row r="109" spans="1:2" x14ac:dyDescent="0.2">
      <c r="A109" t="s">
        <v>4946</v>
      </c>
      <c r="B109" t="s">
        <v>4946</v>
      </c>
    </row>
    <row r="110" spans="1:2" x14ac:dyDescent="0.2">
      <c r="A110" t="s">
        <v>4947</v>
      </c>
      <c r="B110" t="s">
        <v>4947</v>
      </c>
    </row>
    <row r="111" spans="1:2" x14ac:dyDescent="0.2">
      <c r="A111" t="s">
        <v>4948</v>
      </c>
      <c r="B111" t="s">
        <v>4948</v>
      </c>
    </row>
    <row r="112" spans="1:2" x14ac:dyDescent="0.2">
      <c r="A112" t="s">
        <v>4949</v>
      </c>
      <c r="B112" t="s">
        <v>4949</v>
      </c>
    </row>
    <row r="113" spans="1:2" x14ac:dyDescent="0.2">
      <c r="A113" t="s">
        <v>4950</v>
      </c>
      <c r="B113" t="s">
        <v>4950</v>
      </c>
    </row>
    <row r="114" spans="1:2" x14ac:dyDescent="0.2">
      <c r="A114" s="26" t="s">
        <v>4951</v>
      </c>
      <c r="B114" s="26" t="s">
        <v>4951</v>
      </c>
    </row>
    <row r="115" spans="1:2" x14ac:dyDescent="0.2">
      <c r="A115" t="s">
        <v>4952</v>
      </c>
      <c r="B115" t="s">
        <v>4952</v>
      </c>
    </row>
    <row r="116" spans="1:2" x14ac:dyDescent="0.2">
      <c r="A116" t="s">
        <v>4953</v>
      </c>
      <c r="B116" t="s">
        <v>4953</v>
      </c>
    </row>
    <row r="117" spans="1:2" x14ac:dyDescent="0.2">
      <c r="A117" t="s">
        <v>4954</v>
      </c>
      <c r="B117" t="s">
        <v>4954</v>
      </c>
    </row>
    <row r="118" spans="1:2" x14ac:dyDescent="0.2">
      <c r="A118" t="s">
        <v>4955</v>
      </c>
      <c r="B118" t="s">
        <v>4955</v>
      </c>
    </row>
    <row r="119" spans="1:2" x14ac:dyDescent="0.2">
      <c r="A119" s="26" t="s">
        <v>4956</v>
      </c>
      <c r="B119" s="26" t="s">
        <v>4956</v>
      </c>
    </row>
    <row r="120" spans="1:2" x14ac:dyDescent="0.2">
      <c r="A120" t="s">
        <v>4957</v>
      </c>
      <c r="B120" t="s">
        <v>4957</v>
      </c>
    </row>
    <row r="121" spans="1:2" x14ac:dyDescent="0.2">
      <c r="A121" s="26" t="s">
        <v>4958</v>
      </c>
      <c r="B121" s="26" t="s">
        <v>4958</v>
      </c>
    </row>
    <row r="122" spans="1:2" x14ac:dyDescent="0.2">
      <c r="A122" s="26" t="s">
        <v>4959</v>
      </c>
      <c r="B122" s="26" t="s">
        <v>4959</v>
      </c>
    </row>
    <row r="123" spans="1:2" x14ac:dyDescent="0.2">
      <c r="A123" t="s">
        <v>4960</v>
      </c>
      <c r="B123" t="s">
        <v>4960</v>
      </c>
    </row>
    <row r="124" spans="1:2" x14ac:dyDescent="0.2">
      <c r="A124" t="s">
        <v>4961</v>
      </c>
      <c r="B124" t="s">
        <v>4961</v>
      </c>
    </row>
    <row r="125" spans="1:2" x14ac:dyDescent="0.2">
      <c r="A125" t="s">
        <v>4962</v>
      </c>
      <c r="B125" t="s">
        <v>4962</v>
      </c>
    </row>
    <row r="126" spans="1:2" x14ac:dyDescent="0.2">
      <c r="A126" t="s">
        <v>4963</v>
      </c>
      <c r="B126" t="s">
        <v>4963</v>
      </c>
    </row>
    <row r="127" spans="1:2" x14ac:dyDescent="0.2">
      <c r="A127" t="s">
        <v>4964</v>
      </c>
      <c r="B127" t="s">
        <v>4964</v>
      </c>
    </row>
    <row r="128" spans="1:2" x14ac:dyDescent="0.2">
      <c r="A128" t="s">
        <v>4965</v>
      </c>
      <c r="B128" t="s">
        <v>4965</v>
      </c>
    </row>
    <row r="129" spans="1:2" x14ac:dyDescent="0.2">
      <c r="A129" t="s">
        <v>4966</v>
      </c>
      <c r="B129" t="s">
        <v>4966</v>
      </c>
    </row>
    <row r="130" spans="1:2" x14ac:dyDescent="0.2">
      <c r="A130" t="s">
        <v>4967</v>
      </c>
      <c r="B130" t="s">
        <v>4967</v>
      </c>
    </row>
    <row r="131" spans="1:2" x14ac:dyDescent="0.2">
      <c r="A131" t="s">
        <v>4968</v>
      </c>
      <c r="B131" t="s">
        <v>4968</v>
      </c>
    </row>
    <row r="132" spans="1:2" x14ac:dyDescent="0.2">
      <c r="A132" t="s">
        <v>4969</v>
      </c>
      <c r="B132" t="s">
        <v>4969</v>
      </c>
    </row>
    <row r="133" spans="1:2" x14ac:dyDescent="0.2">
      <c r="A133" t="s">
        <v>4970</v>
      </c>
      <c r="B133" t="s">
        <v>4970</v>
      </c>
    </row>
    <row r="134" spans="1:2" x14ac:dyDescent="0.2">
      <c r="A134" t="s">
        <v>4971</v>
      </c>
      <c r="B134" t="s">
        <v>4971</v>
      </c>
    </row>
    <row r="135" spans="1:2" x14ac:dyDescent="0.2">
      <c r="A135" t="s">
        <v>4972</v>
      </c>
      <c r="B135" t="s">
        <v>4972</v>
      </c>
    </row>
    <row r="136" spans="1:2" x14ac:dyDescent="0.2">
      <c r="A136" t="s">
        <v>4973</v>
      </c>
      <c r="B136" t="s">
        <v>4973</v>
      </c>
    </row>
    <row r="137" spans="1:2" x14ac:dyDescent="0.2">
      <c r="A137" t="s">
        <v>4974</v>
      </c>
      <c r="B137" t="s">
        <v>4974</v>
      </c>
    </row>
    <row r="138" spans="1:2" x14ac:dyDescent="0.2">
      <c r="A138" t="s">
        <v>4975</v>
      </c>
      <c r="B138" t="s">
        <v>4975</v>
      </c>
    </row>
    <row r="139" spans="1:2" x14ac:dyDescent="0.2">
      <c r="A139" t="s">
        <v>4976</v>
      </c>
      <c r="B139" t="s">
        <v>4976</v>
      </c>
    </row>
    <row r="140" spans="1:2" x14ac:dyDescent="0.2">
      <c r="A140" t="s">
        <v>4977</v>
      </c>
      <c r="B140" t="s">
        <v>4977</v>
      </c>
    </row>
    <row r="141" spans="1:2" x14ac:dyDescent="0.2">
      <c r="A141" s="26" t="s">
        <v>4978</v>
      </c>
      <c r="B141" s="26" t="s">
        <v>4978</v>
      </c>
    </row>
    <row r="142" spans="1:2" x14ac:dyDescent="0.2">
      <c r="A142" s="26" t="s">
        <v>4979</v>
      </c>
      <c r="B142" s="26" t="s">
        <v>4979</v>
      </c>
    </row>
    <row r="143" spans="1:2" x14ac:dyDescent="0.2">
      <c r="A143" s="26" t="s">
        <v>4980</v>
      </c>
      <c r="B143" s="26" t="s">
        <v>4980</v>
      </c>
    </row>
    <row r="144" spans="1:2" x14ac:dyDescent="0.2">
      <c r="A144" s="26" t="s">
        <v>4981</v>
      </c>
      <c r="B144" s="26" t="s">
        <v>4981</v>
      </c>
    </row>
    <row r="145" spans="1:2" x14ac:dyDescent="0.2">
      <c r="A145" s="26" t="s">
        <v>4982</v>
      </c>
      <c r="B145" s="26" t="s">
        <v>4982</v>
      </c>
    </row>
    <row r="146" spans="1:2" x14ac:dyDescent="0.2">
      <c r="A146" t="s">
        <v>4983</v>
      </c>
      <c r="B146" t="s">
        <v>4983</v>
      </c>
    </row>
    <row r="147" spans="1:2" x14ac:dyDescent="0.2">
      <c r="A147" t="s">
        <v>4984</v>
      </c>
      <c r="B147" t="s">
        <v>4984</v>
      </c>
    </row>
    <row r="148" spans="1:2" x14ac:dyDescent="0.2">
      <c r="A148" t="s">
        <v>4985</v>
      </c>
      <c r="B148" t="s">
        <v>4985</v>
      </c>
    </row>
    <row r="149" spans="1:2" x14ac:dyDescent="0.2">
      <c r="A149" t="s">
        <v>4986</v>
      </c>
      <c r="B149" t="s">
        <v>4986</v>
      </c>
    </row>
    <row r="150" spans="1:2" x14ac:dyDescent="0.2">
      <c r="A150" t="s">
        <v>4987</v>
      </c>
      <c r="B150" t="s">
        <v>4987</v>
      </c>
    </row>
    <row r="151" spans="1:2" x14ac:dyDescent="0.2">
      <c r="A151" t="s">
        <v>4988</v>
      </c>
      <c r="B151" t="s">
        <v>4988</v>
      </c>
    </row>
    <row r="152" spans="1:2" x14ac:dyDescent="0.2">
      <c r="A152" t="s">
        <v>4989</v>
      </c>
      <c r="B152" t="s">
        <v>4989</v>
      </c>
    </row>
    <row r="153" spans="1:2" x14ac:dyDescent="0.2">
      <c r="A153" t="s">
        <v>4990</v>
      </c>
      <c r="B153" t="s">
        <v>4990</v>
      </c>
    </row>
    <row r="154" spans="1:2" x14ac:dyDescent="0.2">
      <c r="A154" t="s">
        <v>4991</v>
      </c>
      <c r="B154" t="s">
        <v>4991</v>
      </c>
    </row>
    <row r="155" spans="1:2" x14ac:dyDescent="0.2">
      <c r="A155" t="s">
        <v>4992</v>
      </c>
      <c r="B155" t="s">
        <v>4992</v>
      </c>
    </row>
    <row r="156" spans="1:2" x14ac:dyDescent="0.2">
      <c r="A156" t="s">
        <v>4993</v>
      </c>
      <c r="B156" t="s">
        <v>4993</v>
      </c>
    </row>
    <row r="157" spans="1:2" x14ac:dyDescent="0.2">
      <c r="A157" t="s">
        <v>4994</v>
      </c>
      <c r="B157" t="s">
        <v>4994</v>
      </c>
    </row>
    <row r="158" spans="1:2" x14ac:dyDescent="0.2">
      <c r="A158" t="s">
        <v>4995</v>
      </c>
      <c r="B158" t="s">
        <v>4995</v>
      </c>
    </row>
    <row r="159" spans="1:2" x14ac:dyDescent="0.2">
      <c r="A159" t="s">
        <v>4996</v>
      </c>
      <c r="B159" t="s">
        <v>4996</v>
      </c>
    </row>
    <row r="160" spans="1:2" x14ac:dyDescent="0.2">
      <c r="A160" t="s">
        <v>4997</v>
      </c>
      <c r="B160" t="s">
        <v>4997</v>
      </c>
    </row>
    <row r="161" spans="1:2" x14ac:dyDescent="0.2">
      <c r="A161" t="s">
        <v>4998</v>
      </c>
      <c r="B161" t="s">
        <v>4998</v>
      </c>
    </row>
    <row r="162" spans="1:2" x14ac:dyDescent="0.2">
      <c r="A162" t="s">
        <v>4999</v>
      </c>
      <c r="B162" t="s">
        <v>4999</v>
      </c>
    </row>
    <row r="163" spans="1:2" x14ac:dyDescent="0.2">
      <c r="A163" s="26" t="s">
        <v>5000</v>
      </c>
      <c r="B163" s="26" t="s">
        <v>5000</v>
      </c>
    </row>
    <row r="164" spans="1:2" x14ac:dyDescent="0.2">
      <c r="A164" t="s">
        <v>5001</v>
      </c>
      <c r="B164" t="s">
        <v>5001</v>
      </c>
    </row>
    <row r="165" spans="1:2" x14ac:dyDescent="0.2">
      <c r="A165" t="s">
        <v>5002</v>
      </c>
      <c r="B165" t="s">
        <v>5002</v>
      </c>
    </row>
    <row r="166" spans="1:2" x14ac:dyDescent="0.2">
      <c r="A166" t="s">
        <v>5003</v>
      </c>
      <c r="B166" t="s">
        <v>5003</v>
      </c>
    </row>
    <row r="167" spans="1:2" x14ac:dyDescent="0.2">
      <c r="A167" t="s">
        <v>2169</v>
      </c>
      <c r="B167" t="s">
        <v>2169</v>
      </c>
    </row>
    <row r="168" spans="1:2" x14ac:dyDescent="0.2">
      <c r="A168" t="s">
        <v>5004</v>
      </c>
      <c r="B168" t="s">
        <v>5004</v>
      </c>
    </row>
    <row r="169" spans="1:2" x14ac:dyDescent="0.2">
      <c r="A169" t="s">
        <v>5005</v>
      </c>
      <c r="B169" t="s">
        <v>5005</v>
      </c>
    </row>
    <row r="170" spans="1:2" x14ac:dyDescent="0.2">
      <c r="A170" t="s">
        <v>5006</v>
      </c>
      <c r="B170" t="s">
        <v>5006</v>
      </c>
    </row>
    <row r="171" spans="1:2" x14ac:dyDescent="0.2">
      <c r="A171" t="s">
        <v>5007</v>
      </c>
      <c r="B171" t="s">
        <v>5007</v>
      </c>
    </row>
    <row r="172" spans="1:2" x14ac:dyDescent="0.2">
      <c r="A172" t="s">
        <v>5008</v>
      </c>
      <c r="B172" t="s">
        <v>5008</v>
      </c>
    </row>
    <row r="173" spans="1:2" x14ac:dyDescent="0.2">
      <c r="A173" t="s">
        <v>5009</v>
      </c>
      <c r="B173" t="s">
        <v>5009</v>
      </c>
    </row>
    <row r="174" spans="1:2" x14ac:dyDescent="0.2">
      <c r="A174" t="s">
        <v>5010</v>
      </c>
      <c r="B174" t="s">
        <v>5010</v>
      </c>
    </row>
    <row r="175" spans="1:2" x14ac:dyDescent="0.2">
      <c r="A175" t="s">
        <v>5011</v>
      </c>
      <c r="B175" t="s">
        <v>5011</v>
      </c>
    </row>
    <row r="176" spans="1:2" x14ac:dyDescent="0.2">
      <c r="A176" t="s">
        <v>5012</v>
      </c>
      <c r="B176" t="s">
        <v>5012</v>
      </c>
    </row>
    <row r="177" spans="1:2" x14ac:dyDescent="0.2">
      <c r="A177" s="26" t="s">
        <v>5013</v>
      </c>
      <c r="B177" s="26" t="s">
        <v>5013</v>
      </c>
    </row>
    <row r="178" spans="1:2" x14ac:dyDescent="0.2">
      <c r="A178" t="s">
        <v>5014</v>
      </c>
      <c r="B178" t="s">
        <v>5014</v>
      </c>
    </row>
    <row r="179" spans="1:2" x14ac:dyDescent="0.2">
      <c r="A179" t="s">
        <v>5015</v>
      </c>
      <c r="B179" t="s">
        <v>5015</v>
      </c>
    </row>
    <row r="180" spans="1:2" x14ac:dyDescent="0.2">
      <c r="A180" t="s">
        <v>5016</v>
      </c>
      <c r="B180" t="s">
        <v>5016</v>
      </c>
    </row>
    <row r="181" spans="1:2" x14ac:dyDescent="0.2">
      <c r="A181" t="s">
        <v>5017</v>
      </c>
      <c r="B181" t="s">
        <v>5017</v>
      </c>
    </row>
    <row r="182" spans="1:2" x14ac:dyDescent="0.2">
      <c r="A182" t="s">
        <v>5018</v>
      </c>
      <c r="B182" t="s">
        <v>5018</v>
      </c>
    </row>
    <row r="183" spans="1:2" x14ac:dyDescent="0.2">
      <c r="A183" t="s">
        <v>5019</v>
      </c>
      <c r="B183" t="s">
        <v>5019</v>
      </c>
    </row>
    <row r="184" spans="1:2" x14ac:dyDescent="0.2">
      <c r="A184" s="26" t="s">
        <v>5020</v>
      </c>
      <c r="B184" s="26" t="s">
        <v>5020</v>
      </c>
    </row>
    <row r="185" spans="1:2" x14ac:dyDescent="0.2">
      <c r="A185" s="26" t="s">
        <v>5021</v>
      </c>
      <c r="B185" s="26" t="s">
        <v>5021</v>
      </c>
    </row>
    <row r="186" spans="1:2" x14ac:dyDescent="0.2">
      <c r="A186" t="s">
        <v>5022</v>
      </c>
      <c r="B186" t="s">
        <v>5022</v>
      </c>
    </row>
    <row r="187" spans="1:2" x14ac:dyDescent="0.2">
      <c r="A187" t="s">
        <v>5023</v>
      </c>
      <c r="B187" t="s">
        <v>5023</v>
      </c>
    </row>
    <row r="188" spans="1:2" x14ac:dyDescent="0.2">
      <c r="A188" t="s">
        <v>5024</v>
      </c>
      <c r="B188" t="s">
        <v>5024</v>
      </c>
    </row>
    <row r="189" spans="1:2" x14ac:dyDescent="0.2">
      <c r="A189" t="s">
        <v>5025</v>
      </c>
      <c r="B189" t="s">
        <v>5025</v>
      </c>
    </row>
    <row r="190" spans="1:2" x14ac:dyDescent="0.2">
      <c r="A190" t="s">
        <v>5026</v>
      </c>
      <c r="B190" t="s">
        <v>5026</v>
      </c>
    </row>
    <row r="191" spans="1:2" x14ac:dyDescent="0.2">
      <c r="A191" t="s">
        <v>5027</v>
      </c>
      <c r="B191" t="s">
        <v>5027</v>
      </c>
    </row>
    <row r="192" spans="1:2" x14ac:dyDescent="0.2">
      <c r="A192" t="s">
        <v>5028</v>
      </c>
      <c r="B192" t="s">
        <v>5028</v>
      </c>
    </row>
    <row r="193" spans="1:2" x14ac:dyDescent="0.2">
      <c r="A193" t="s">
        <v>5029</v>
      </c>
      <c r="B193" t="s">
        <v>5029</v>
      </c>
    </row>
    <row r="194" spans="1:2" x14ac:dyDescent="0.2">
      <c r="A194" t="s">
        <v>5030</v>
      </c>
      <c r="B194" t="s">
        <v>5030</v>
      </c>
    </row>
    <row r="195" spans="1:2" x14ac:dyDescent="0.2">
      <c r="A195" t="s">
        <v>5031</v>
      </c>
      <c r="B195" t="s">
        <v>5031</v>
      </c>
    </row>
    <row r="196" spans="1:2" x14ac:dyDescent="0.2">
      <c r="A196" t="s">
        <v>5032</v>
      </c>
      <c r="B196" t="s">
        <v>5032</v>
      </c>
    </row>
    <row r="197" spans="1:2" x14ac:dyDescent="0.2">
      <c r="A197" t="s">
        <v>5033</v>
      </c>
      <c r="B197" t="s">
        <v>5033</v>
      </c>
    </row>
    <row r="198" spans="1:2" x14ac:dyDescent="0.2">
      <c r="A198" t="s">
        <v>5034</v>
      </c>
      <c r="B198" t="s">
        <v>5034</v>
      </c>
    </row>
    <row r="199" spans="1:2" x14ac:dyDescent="0.2">
      <c r="A199" s="26" t="s">
        <v>5035</v>
      </c>
      <c r="B199" s="26" t="s">
        <v>5035</v>
      </c>
    </row>
    <row r="200" spans="1:2" x14ac:dyDescent="0.2">
      <c r="A200" t="s">
        <v>5036</v>
      </c>
      <c r="B200" t="s">
        <v>5036</v>
      </c>
    </row>
    <row r="201" spans="1:2" x14ac:dyDescent="0.2">
      <c r="A201" t="s">
        <v>5037</v>
      </c>
      <c r="B201" t="s">
        <v>5037</v>
      </c>
    </row>
    <row r="202" spans="1:2" x14ac:dyDescent="0.2">
      <c r="A202" t="s">
        <v>5038</v>
      </c>
      <c r="B202" t="s">
        <v>5038</v>
      </c>
    </row>
    <row r="203" spans="1:2" x14ac:dyDescent="0.2">
      <c r="A203" t="s">
        <v>5039</v>
      </c>
      <c r="B203" t="s">
        <v>5039</v>
      </c>
    </row>
    <row r="204" spans="1:2" x14ac:dyDescent="0.2">
      <c r="A204" t="s">
        <v>5040</v>
      </c>
      <c r="B204" t="s">
        <v>5040</v>
      </c>
    </row>
    <row r="205" spans="1:2" x14ac:dyDescent="0.2">
      <c r="A205" t="s">
        <v>5041</v>
      </c>
      <c r="B205" t="s">
        <v>5041</v>
      </c>
    </row>
    <row r="206" spans="1:2" x14ac:dyDescent="0.2">
      <c r="A206" t="s">
        <v>5042</v>
      </c>
      <c r="B206" t="s">
        <v>5042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"/>
  <sheetViews>
    <sheetView workbookViewId="0">
      <selection activeCell="G6" sqref="G6"/>
    </sheetView>
  </sheetViews>
  <sheetFormatPr baseColWidth="10" defaultRowHeight="15" x14ac:dyDescent="0.2"/>
  <cols>
    <col min="2" max="2" width="32.5" customWidth="1"/>
  </cols>
  <sheetData>
    <row r="1" spans="1:3" s="16" customFormat="1" x14ac:dyDescent="0.2">
      <c r="A1" s="16" t="s">
        <v>1484</v>
      </c>
      <c r="B1" s="16" t="s">
        <v>1987</v>
      </c>
      <c r="C1" s="16" t="s">
        <v>1485</v>
      </c>
    </row>
    <row r="2" spans="1:3" x14ac:dyDescent="0.2">
      <c r="A2" t="s">
        <v>5043</v>
      </c>
      <c r="B2" t="s">
        <v>5044</v>
      </c>
      <c r="C2" t="s">
        <v>5043</v>
      </c>
    </row>
    <row r="3" spans="1:3" x14ac:dyDescent="0.2">
      <c r="A3" t="s">
        <v>5045</v>
      </c>
      <c r="B3" t="s">
        <v>5044</v>
      </c>
      <c r="C3" t="s">
        <v>5045</v>
      </c>
    </row>
    <row r="4" spans="1:3" x14ac:dyDescent="0.2">
      <c r="A4" t="s">
        <v>5046</v>
      </c>
      <c r="B4" t="s">
        <v>5047</v>
      </c>
      <c r="C4" t="s">
        <v>5046</v>
      </c>
    </row>
    <row r="5" spans="1:3" x14ac:dyDescent="0.2">
      <c r="A5" t="s">
        <v>5048</v>
      </c>
      <c r="B5" t="s">
        <v>5049</v>
      </c>
      <c r="C5" t="s">
        <v>5048</v>
      </c>
    </row>
    <row r="6" spans="1:3" x14ac:dyDescent="0.2">
      <c r="A6" t="s">
        <v>5050</v>
      </c>
      <c r="B6" t="s">
        <v>5051</v>
      </c>
      <c r="C6" t="s">
        <v>5050</v>
      </c>
    </row>
    <row r="7" spans="1:3" x14ac:dyDescent="0.2">
      <c r="A7" t="s">
        <v>5052</v>
      </c>
      <c r="B7" t="s">
        <v>5053</v>
      </c>
      <c r="C7" t="s">
        <v>5052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60"/>
  <sheetViews>
    <sheetView topLeftCell="A325" workbookViewId="0">
      <selection activeCell="B340" sqref="B340"/>
    </sheetView>
  </sheetViews>
  <sheetFormatPr baseColWidth="10" defaultRowHeight="15" x14ac:dyDescent="0.2"/>
  <cols>
    <col min="1" max="1" width="29" customWidth="1"/>
    <col min="2" max="2" width="28.164062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t="s">
        <v>5054</v>
      </c>
      <c r="B2" t="s">
        <v>5054</v>
      </c>
    </row>
    <row r="3" spans="1:2" x14ac:dyDescent="0.2">
      <c r="A3" t="s">
        <v>5055</v>
      </c>
      <c r="B3" t="s">
        <v>5055</v>
      </c>
    </row>
    <row r="4" spans="1:2" x14ac:dyDescent="0.2">
      <c r="A4" t="s">
        <v>5056</v>
      </c>
      <c r="B4" t="s">
        <v>5056</v>
      </c>
    </row>
    <row r="5" spans="1:2" x14ac:dyDescent="0.2">
      <c r="A5" t="s">
        <v>5057</v>
      </c>
      <c r="B5" t="s">
        <v>5057</v>
      </c>
    </row>
    <row r="6" spans="1:2" x14ac:dyDescent="0.2">
      <c r="A6" t="s">
        <v>5058</v>
      </c>
      <c r="B6" t="s">
        <v>5058</v>
      </c>
    </row>
    <row r="7" spans="1:2" x14ac:dyDescent="0.2">
      <c r="A7" t="s">
        <v>5059</v>
      </c>
      <c r="B7" t="s">
        <v>5059</v>
      </c>
    </row>
    <row r="8" spans="1:2" x14ac:dyDescent="0.2">
      <c r="A8" t="s">
        <v>5060</v>
      </c>
      <c r="B8" t="s">
        <v>5060</v>
      </c>
    </row>
    <row r="9" spans="1:2" x14ac:dyDescent="0.2">
      <c r="A9" t="s">
        <v>5061</v>
      </c>
      <c r="B9" t="s">
        <v>5061</v>
      </c>
    </row>
    <row r="10" spans="1:2" x14ac:dyDescent="0.2">
      <c r="A10" t="s">
        <v>5062</v>
      </c>
      <c r="B10" t="s">
        <v>5062</v>
      </c>
    </row>
    <row r="11" spans="1:2" x14ac:dyDescent="0.2">
      <c r="A11" t="s">
        <v>5063</v>
      </c>
      <c r="B11" t="s">
        <v>5063</v>
      </c>
    </row>
    <row r="12" spans="1:2" x14ac:dyDescent="0.2">
      <c r="A12" t="s">
        <v>5064</v>
      </c>
      <c r="B12" t="s">
        <v>5064</v>
      </c>
    </row>
    <row r="13" spans="1:2" x14ac:dyDescent="0.2">
      <c r="A13" t="s">
        <v>5065</v>
      </c>
      <c r="B13" t="s">
        <v>5065</v>
      </c>
    </row>
    <row r="14" spans="1:2" x14ac:dyDescent="0.2">
      <c r="A14" t="s">
        <v>5066</v>
      </c>
      <c r="B14" t="s">
        <v>5066</v>
      </c>
    </row>
    <row r="15" spans="1:2" x14ac:dyDescent="0.2">
      <c r="A15" t="s">
        <v>5067</v>
      </c>
      <c r="B15" t="s">
        <v>5067</v>
      </c>
    </row>
    <row r="16" spans="1:2" x14ac:dyDescent="0.2">
      <c r="A16" t="s">
        <v>5068</v>
      </c>
      <c r="B16" t="s">
        <v>5068</v>
      </c>
    </row>
    <row r="17" spans="1:2" x14ac:dyDescent="0.2">
      <c r="A17" t="s">
        <v>5069</v>
      </c>
      <c r="B17" t="s">
        <v>5069</v>
      </c>
    </row>
    <row r="18" spans="1:2" x14ac:dyDescent="0.2">
      <c r="A18" t="s">
        <v>5070</v>
      </c>
      <c r="B18" t="s">
        <v>5070</v>
      </c>
    </row>
    <row r="19" spans="1:2" x14ac:dyDescent="0.2">
      <c r="A19" t="s">
        <v>5071</v>
      </c>
      <c r="B19" t="s">
        <v>5071</v>
      </c>
    </row>
    <row r="20" spans="1:2" x14ac:dyDescent="0.2">
      <c r="A20" t="s">
        <v>5072</v>
      </c>
      <c r="B20" t="s">
        <v>5072</v>
      </c>
    </row>
    <row r="21" spans="1:2" x14ac:dyDescent="0.2">
      <c r="A21" t="s">
        <v>5073</v>
      </c>
      <c r="B21" t="s">
        <v>5073</v>
      </c>
    </row>
    <row r="22" spans="1:2" x14ac:dyDescent="0.2">
      <c r="A22" t="s">
        <v>5074</v>
      </c>
      <c r="B22" t="s">
        <v>5074</v>
      </c>
    </row>
    <row r="23" spans="1:2" x14ac:dyDescent="0.2">
      <c r="A23" t="s">
        <v>5075</v>
      </c>
      <c r="B23" t="s">
        <v>5075</v>
      </c>
    </row>
    <row r="24" spans="1:2" x14ac:dyDescent="0.2">
      <c r="A24" t="s">
        <v>5076</v>
      </c>
      <c r="B24" t="s">
        <v>5076</v>
      </c>
    </row>
    <row r="25" spans="1:2" x14ac:dyDescent="0.2">
      <c r="A25" t="s">
        <v>5077</v>
      </c>
      <c r="B25" t="s">
        <v>5077</v>
      </c>
    </row>
    <row r="26" spans="1:2" x14ac:dyDescent="0.2">
      <c r="A26" t="s">
        <v>5078</v>
      </c>
      <c r="B26" t="s">
        <v>5078</v>
      </c>
    </row>
    <row r="27" spans="1:2" x14ac:dyDescent="0.2">
      <c r="A27" t="s">
        <v>5079</v>
      </c>
      <c r="B27" t="s">
        <v>5079</v>
      </c>
    </row>
    <row r="28" spans="1:2" x14ac:dyDescent="0.2">
      <c r="A28" t="s">
        <v>5080</v>
      </c>
      <c r="B28" t="s">
        <v>5080</v>
      </c>
    </row>
    <row r="29" spans="1:2" x14ac:dyDescent="0.2">
      <c r="A29" t="s">
        <v>5081</v>
      </c>
      <c r="B29" t="s">
        <v>5081</v>
      </c>
    </row>
    <row r="30" spans="1:2" x14ac:dyDescent="0.2">
      <c r="A30" t="s">
        <v>5082</v>
      </c>
      <c r="B30" t="s">
        <v>5082</v>
      </c>
    </row>
    <row r="31" spans="1:2" x14ac:dyDescent="0.2">
      <c r="A31" t="s">
        <v>5083</v>
      </c>
      <c r="B31" t="s">
        <v>5083</v>
      </c>
    </row>
    <row r="32" spans="1:2" x14ac:dyDescent="0.2">
      <c r="A32" t="s">
        <v>5084</v>
      </c>
      <c r="B32" t="s">
        <v>5084</v>
      </c>
    </row>
    <row r="33" spans="1:2" x14ac:dyDescent="0.2">
      <c r="A33" t="s">
        <v>5085</v>
      </c>
      <c r="B33" t="s">
        <v>5085</v>
      </c>
    </row>
    <row r="34" spans="1:2" x14ac:dyDescent="0.2">
      <c r="A34" t="s">
        <v>5086</v>
      </c>
      <c r="B34" t="s">
        <v>5086</v>
      </c>
    </row>
    <row r="35" spans="1:2" x14ac:dyDescent="0.2">
      <c r="A35" t="s">
        <v>5087</v>
      </c>
      <c r="B35" t="s">
        <v>5087</v>
      </c>
    </row>
    <row r="36" spans="1:2" x14ac:dyDescent="0.2">
      <c r="A36" t="s">
        <v>5088</v>
      </c>
      <c r="B36" t="s">
        <v>5088</v>
      </c>
    </row>
    <row r="37" spans="1:2" x14ac:dyDescent="0.2">
      <c r="A37" t="s">
        <v>5089</v>
      </c>
      <c r="B37" t="s">
        <v>5089</v>
      </c>
    </row>
    <row r="38" spans="1:2" x14ac:dyDescent="0.2">
      <c r="A38" t="s">
        <v>5090</v>
      </c>
      <c r="B38" t="s">
        <v>5090</v>
      </c>
    </row>
    <row r="39" spans="1:2" x14ac:dyDescent="0.2">
      <c r="A39" t="s">
        <v>5091</v>
      </c>
      <c r="B39" t="s">
        <v>5091</v>
      </c>
    </row>
    <row r="40" spans="1:2" x14ac:dyDescent="0.2">
      <c r="A40" t="s">
        <v>5092</v>
      </c>
      <c r="B40" t="s">
        <v>5092</v>
      </c>
    </row>
    <row r="41" spans="1:2" x14ac:dyDescent="0.2">
      <c r="A41" t="s">
        <v>5093</v>
      </c>
      <c r="B41" t="s">
        <v>5093</v>
      </c>
    </row>
    <row r="42" spans="1:2" x14ac:dyDescent="0.2">
      <c r="A42" t="s">
        <v>5094</v>
      </c>
      <c r="B42" t="s">
        <v>5094</v>
      </c>
    </row>
    <row r="43" spans="1:2" x14ac:dyDescent="0.2">
      <c r="A43" t="s">
        <v>5095</v>
      </c>
      <c r="B43" t="s">
        <v>5095</v>
      </c>
    </row>
    <row r="44" spans="1:2" x14ac:dyDescent="0.2">
      <c r="A44" t="s">
        <v>5096</v>
      </c>
      <c r="B44" t="s">
        <v>5096</v>
      </c>
    </row>
    <row r="45" spans="1:2" x14ac:dyDescent="0.2">
      <c r="A45" t="s">
        <v>5097</v>
      </c>
      <c r="B45" t="s">
        <v>5097</v>
      </c>
    </row>
    <row r="46" spans="1:2" x14ac:dyDescent="0.2">
      <c r="A46" t="s">
        <v>5098</v>
      </c>
      <c r="B46" t="s">
        <v>5098</v>
      </c>
    </row>
    <row r="47" spans="1:2" x14ac:dyDescent="0.2">
      <c r="A47" t="s">
        <v>5099</v>
      </c>
      <c r="B47" t="s">
        <v>5099</v>
      </c>
    </row>
    <row r="48" spans="1:2" x14ac:dyDescent="0.2">
      <c r="A48" t="s">
        <v>5100</v>
      </c>
      <c r="B48" t="s">
        <v>5100</v>
      </c>
    </row>
    <row r="49" spans="1:2" x14ac:dyDescent="0.2">
      <c r="A49" t="s">
        <v>5101</v>
      </c>
      <c r="B49" t="s">
        <v>5101</v>
      </c>
    </row>
    <row r="50" spans="1:2" x14ac:dyDescent="0.2">
      <c r="A50" t="s">
        <v>5102</v>
      </c>
      <c r="B50" t="s">
        <v>5102</v>
      </c>
    </row>
    <row r="51" spans="1:2" x14ac:dyDescent="0.2">
      <c r="A51" t="s">
        <v>5103</v>
      </c>
      <c r="B51" t="s">
        <v>5103</v>
      </c>
    </row>
    <row r="52" spans="1:2" x14ac:dyDescent="0.2">
      <c r="A52" t="s">
        <v>5104</v>
      </c>
      <c r="B52" t="s">
        <v>5104</v>
      </c>
    </row>
    <row r="53" spans="1:2" x14ac:dyDescent="0.2">
      <c r="A53" t="s">
        <v>5105</v>
      </c>
      <c r="B53" t="s">
        <v>5105</v>
      </c>
    </row>
    <row r="54" spans="1:2" x14ac:dyDescent="0.2">
      <c r="A54" t="s">
        <v>5106</v>
      </c>
      <c r="B54" t="s">
        <v>5106</v>
      </c>
    </row>
    <row r="55" spans="1:2" x14ac:dyDescent="0.2">
      <c r="A55" t="s">
        <v>5107</v>
      </c>
      <c r="B55" t="s">
        <v>5107</v>
      </c>
    </row>
    <row r="56" spans="1:2" x14ac:dyDescent="0.2">
      <c r="A56" t="s">
        <v>5108</v>
      </c>
      <c r="B56" t="s">
        <v>5108</v>
      </c>
    </row>
    <row r="57" spans="1:2" x14ac:dyDescent="0.2">
      <c r="A57" t="s">
        <v>5109</v>
      </c>
      <c r="B57" t="s">
        <v>5109</v>
      </c>
    </row>
    <row r="58" spans="1:2" x14ac:dyDescent="0.2">
      <c r="A58" t="s">
        <v>5110</v>
      </c>
      <c r="B58" t="s">
        <v>5110</v>
      </c>
    </row>
    <row r="59" spans="1:2" x14ac:dyDescent="0.2">
      <c r="A59" t="s">
        <v>5111</v>
      </c>
      <c r="B59" t="s">
        <v>5111</v>
      </c>
    </row>
    <row r="60" spans="1:2" x14ac:dyDescent="0.2">
      <c r="A60" t="s">
        <v>5112</v>
      </c>
      <c r="B60" t="s">
        <v>5112</v>
      </c>
    </row>
    <row r="61" spans="1:2" x14ac:dyDescent="0.2">
      <c r="A61" t="s">
        <v>5113</v>
      </c>
      <c r="B61" t="s">
        <v>5113</v>
      </c>
    </row>
    <row r="62" spans="1:2" x14ac:dyDescent="0.2">
      <c r="A62" t="s">
        <v>5114</v>
      </c>
      <c r="B62" t="s">
        <v>5114</v>
      </c>
    </row>
    <row r="63" spans="1:2" x14ac:dyDescent="0.2">
      <c r="A63" t="s">
        <v>5115</v>
      </c>
      <c r="B63" t="s">
        <v>5115</v>
      </c>
    </row>
    <row r="64" spans="1:2" x14ac:dyDescent="0.2">
      <c r="A64" t="s">
        <v>5116</v>
      </c>
      <c r="B64" t="s">
        <v>5116</v>
      </c>
    </row>
    <row r="65" spans="1:2" x14ac:dyDescent="0.2">
      <c r="A65" t="s">
        <v>5117</v>
      </c>
      <c r="B65" t="s">
        <v>5117</v>
      </c>
    </row>
    <row r="66" spans="1:2" x14ac:dyDescent="0.2">
      <c r="A66" t="s">
        <v>5118</v>
      </c>
      <c r="B66" t="s">
        <v>5118</v>
      </c>
    </row>
    <row r="67" spans="1:2" x14ac:dyDescent="0.2">
      <c r="A67" t="s">
        <v>5119</v>
      </c>
      <c r="B67" t="s">
        <v>5119</v>
      </c>
    </row>
    <row r="68" spans="1:2" x14ac:dyDescent="0.2">
      <c r="A68" t="s">
        <v>5120</v>
      </c>
      <c r="B68" t="s">
        <v>5120</v>
      </c>
    </row>
    <row r="69" spans="1:2" x14ac:dyDescent="0.2">
      <c r="A69" t="s">
        <v>5121</v>
      </c>
      <c r="B69" t="s">
        <v>5121</v>
      </c>
    </row>
    <row r="70" spans="1:2" x14ac:dyDescent="0.2">
      <c r="A70" t="s">
        <v>5122</v>
      </c>
      <c r="B70" t="s">
        <v>5122</v>
      </c>
    </row>
    <row r="71" spans="1:2" x14ac:dyDescent="0.2">
      <c r="A71" t="s">
        <v>5123</v>
      </c>
      <c r="B71" t="s">
        <v>5123</v>
      </c>
    </row>
    <row r="72" spans="1:2" x14ac:dyDescent="0.2">
      <c r="A72" t="s">
        <v>5124</v>
      </c>
      <c r="B72" t="s">
        <v>5124</v>
      </c>
    </row>
    <row r="73" spans="1:2" x14ac:dyDescent="0.2">
      <c r="A73" t="s">
        <v>5125</v>
      </c>
      <c r="B73" t="s">
        <v>5125</v>
      </c>
    </row>
    <row r="74" spans="1:2" x14ac:dyDescent="0.2">
      <c r="A74" t="s">
        <v>5126</v>
      </c>
      <c r="B74" t="s">
        <v>5126</v>
      </c>
    </row>
    <row r="75" spans="1:2" x14ac:dyDescent="0.2">
      <c r="A75" t="s">
        <v>5127</v>
      </c>
      <c r="B75" t="s">
        <v>5127</v>
      </c>
    </row>
    <row r="76" spans="1:2" x14ac:dyDescent="0.2">
      <c r="A76" t="s">
        <v>5128</v>
      </c>
      <c r="B76" t="s">
        <v>5128</v>
      </c>
    </row>
    <row r="77" spans="1:2" x14ac:dyDescent="0.2">
      <c r="A77" t="s">
        <v>5129</v>
      </c>
      <c r="B77" t="s">
        <v>5129</v>
      </c>
    </row>
    <row r="78" spans="1:2" x14ac:dyDescent="0.2">
      <c r="A78" t="s">
        <v>5130</v>
      </c>
      <c r="B78" t="s">
        <v>5130</v>
      </c>
    </row>
    <row r="79" spans="1:2" x14ac:dyDescent="0.2">
      <c r="A79" t="s">
        <v>5131</v>
      </c>
      <c r="B79" t="s">
        <v>5131</v>
      </c>
    </row>
    <row r="80" spans="1:2" x14ac:dyDescent="0.2">
      <c r="A80" t="s">
        <v>5132</v>
      </c>
      <c r="B80" t="s">
        <v>5132</v>
      </c>
    </row>
    <row r="81" spans="1:2" x14ac:dyDescent="0.2">
      <c r="A81" t="s">
        <v>5133</v>
      </c>
      <c r="B81" t="s">
        <v>5133</v>
      </c>
    </row>
    <row r="82" spans="1:2" x14ac:dyDescent="0.2">
      <c r="A82" t="s">
        <v>5134</v>
      </c>
      <c r="B82" t="s">
        <v>5134</v>
      </c>
    </row>
    <row r="83" spans="1:2" x14ac:dyDescent="0.2">
      <c r="A83" t="s">
        <v>5135</v>
      </c>
      <c r="B83" t="s">
        <v>5135</v>
      </c>
    </row>
    <row r="84" spans="1:2" x14ac:dyDescent="0.2">
      <c r="A84" t="s">
        <v>5136</v>
      </c>
      <c r="B84" t="s">
        <v>5136</v>
      </c>
    </row>
    <row r="85" spans="1:2" x14ac:dyDescent="0.2">
      <c r="A85" t="s">
        <v>5137</v>
      </c>
      <c r="B85" t="s">
        <v>5137</v>
      </c>
    </row>
    <row r="86" spans="1:2" x14ac:dyDescent="0.2">
      <c r="A86" t="s">
        <v>5138</v>
      </c>
      <c r="B86" t="s">
        <v>5138</v>
      </c>
    </row>
    <row r="87" spans="1:2" x14ac:dyDescent="0.2">
      <c r="A87" t="s">
        <v>5139</v>
      </c>
      <c r="B87" t="s">
        <v>5139</v>
      </c>
    </row>
    <row r="88" spans="1:2" x14ac:dyDescent="0.2">
      <c r="A88" t="s">
        <v>5140</v>
      </c>
      <c r="B88" t="s">
        <v>5140</v>
      </c>
    </row>
    <row r="89" spans="1:2" x14ac:dyDescent="0.2">
      <c r="A89" t="s">
        <v>5141</v>
      </c>
      <c r="B89" t="s">
        <v>5141</v>
      </c>
    </row>
    <row r="90" spans="1:2" x14ac:dyDescent="0.2">
      <c r="A90" t="s">
        <v>5142</v>
      </c>
      <c r="B90" t="s">
        <v>5142</v>
      </c>
    </row>
    <row r="91" spans="1:2" x14ac:dyDescent="0.2">
      <c r="A91" t="s">
        <v>5143</v>
      </c>
      <c r="B91" t="s">
        <v>5143</v>
      </c>
    </row>
    <row r="92" spans="1:2" x14ac:dyDescent="0.2">
      <c r="A92" t="s">
        <v>5144</v>
      </c>
      <c r="B92" t="s">
        <v>5144</v>
      </c>
    </row>
    <row r="93" spans="1:2" x14ac:dyDescent="0.2">
      <c r="A93" t="s">
        <v>5145</v>
      </c>
      <c r="B93" t="s">
        <v>5145</v>
      </c>
    </row>
    <row r="94" spans="1:2" x14ac:dyDescent="0.2">
      <c r="A94" t="s">
        <v>5146</v>
      </c>
      <c r="B94" t="s">
        <v>5146</v>
      </c>
    </row>
    <row r="95" spans="1:2" x14ac:dyDescent="0.2">
      <c r="A95" t="s">
        <v>5147</v>
      </c>
      <c r="B95" t="s">
        <v>5147</v>
      </c>
    </row>
    <row r="96" spans="1:2" x14ac:dyDescent="0.2">
      <c r="A96" t="s">
        <v>5148</v>
      </c>
      <c r="B96" t="s">
        <v>5148</v>
      </c>
    </row>
    <row r="97" spans="1:2" x14ac:dyDescent="0.2">
      <c r="A97" t="s">
        <v>5149</v>
      </c>
      <c r="B97" t="s">
        <v>5149</v>
      </c>
    </row>
    <row r="98" spans="1:2" x14ac:dyDescent="0.2">
      <c r="A98" t="s">
        <v>5150</v>
      </c>
      <c r="B98" t="s">
        <v>5150</v>
      </c>
    </row>
    <row r="99" spans="1:2" x14ac:dyDescent="0.2">
      <c r="A99" t="s">
        <v>5151</v>
      </c>
      <c r="B99" t="s">
        <v>5151</v>
      </c>
    </row>
    <row r="100" spans="1:2" x14ac:dyDescent="0.2">
      <c r="A100" t="s">
        <v>5152</v>
      </c>
      <c r="B100" t="s">
        <v>5152</v>
      </c>
    </row>
    <row r="101" spans="1:2" x14ac:dyDescent="0.2">
      <c r="A101" t="s">
        <v>5153</v>
      </c>
      <c r="B101" t="s">
        <v>5153</v>
      </c>
    </row>
    <row r="102" spans="1:2" x14ac:dyDescent="0.2">
      <c r="A102" t="s">
        <v>5154</v>
      </c>
      <c r="B102" t="s">
        <v>5154</v>
      </c>
    </row>
    <row r="103" spans="1:2" x14ac:dyDescent="0.2">
      <c r="A103" t="s">
        <v>5155</v>
      </c>
      <c r="B103" t="s">
        <v>5155</v>
      </c>
    </row>
    <row r="104" spans="1:2" x14ac:dyDescent="0.2">
      <c r="A104" t="s">
        <v>5156</v>
      </c>
      <c r="B104" t="s">
        <v>5156</v>
      </c>
    </row>
    <row r="105" spans="1:2" x14ac:dyDescent="0.2">
      <c r="A105" t="s">
        <v>5157</v>
      </c>
      <c r="B105" t="s">
        <v>5157</v>
      </c>
    </row>
    <row r="106" spans="1:2" x14ac:dyDescent="0.2">
      <c r="A106" t="s">
        <v>5158</v>
      </c>
      <c r="B106" t="s">
        <v>5158</v>
      </c>
    </row>
    <row r="107" spans="1:2" x14ac:dyDescent="0.2">
      <c r="A107" t="s">
        <v>5159</v>
      </c>
      <c r="B107" t="s">
        <v>5159</v>
      </c>
    </row>
    <row r="108" spans="1:2" x14ac:dyDescent="0.2">
      <c r="A108" t="s">
        <v>5160</v>
      </c>
      <c r="B108" t="s">
        <v>5160</v>
      </c>
    </row>
    <row r="109" spans="1:2" x14ac:dyDescent="0.2">
      <c r="A109" t="s">
        <v>5161</v>
      </c>
      <c r="B109" t="s">
        <v>5161</v>
      </c>
    </row>
    <row r="110" spans="1:2" x14ac:dyDescent="0.2">
      <c r="A110" t="s">
        <v>5162</v>
      </c>
      <c r="B110" t="s">
        <v>5162</v>
      </c>
    </row>
    <row r="111" spans="1:2" x14ac:dyDescent="0.2">
      <c r="A111" t="s">
        <v>5163</v>
      </c>
      <c r="B111" t="s">
        <v>5163</v>
      </c>
    </row>
    <row r="112" spans="1:2" x14ac:dyDescent="0.2">
      <c r="A112" t="s">
        <v>5164</v>
      </c>
      <c r="B112" t="s">
        <v>5164</v>
      </c>
    </row>
    <row r="113" spans="1:2" x14ac:dyDescent="0.2">
      <c r="A113" t="s">
        <v>5165</v>
      </c>
      <c r="B113" t="s">
        <v>5165</v>
      </c>
    </row>
    <row r="114" spans="1:2" x14ac:dyDescent="0.2">
      <c r="A114" t="s">
        <v>5166</v>
      </c>
      <c r="B114" t="s">
        <v>5166</v>
      </c>
    </row>
    <row r="115" spans="1:2" x14ac:dyDescent="0.2">
      <c r="A115" t="s">
        <v>5167</v>
      </c>
      <c r="B115" t="s">
        <v>5167</v>
      </c>
    </row>
    <row r="116" spans="1:2" x14ac:dyDescent="0.2">
      <c r="A116" t="s">
        <v>5168</v>
      </c>
      <c r="B116" t="s">
        <v>5168</v>
      </c>
    </row>
    <row r="117" spans="1:2" x14ac:dyDescent="0.2">
      <c r="A117" t="s">
        <v>5169</v>
      </c>
      <c r="B117" t="s">
        <v>5169</v>
      </c>
    </row>
    <row r="118" spans="1:2" x14ac:dyDescent="0.2">
      <c r="A118" t="s">
        <v>5170</v>
      </c>
      <c r="B118" t="s">
        <v>5170</v>
      </c>
    </row>
    <row r="119" spans="1:2" x14ac:dyDescent="0.2">
      <c r="A119" t="s">
        <v>5171</v>
      </c>
      <c r="B119" t="s">
        <v>5171</v>
      </c>
    </row>
    <row r="120" spans="1:2" x14ac:dyDescent="0.2">
      <c r="A120" t="s">
        <v>5172</v>
      </c>
      <c r="B120" t="s">
        <v>5172</v>
      </c>
    </row>
    <row r="121" spans="1:2" x14ac:dyDescent="0.2">
      <c r="A121" t="s">
        <v>5173</v>
      </c>
      <c r="B121" t="s">
        <v>5173</v>
      </c>
    </row>
    <row r="122" spans="1:2" x14ac:dyDescent="0.2">
      <c r="A122" t="s">
        <v>5174</v>
      </c>
      <c r="B122" t="s">
        <v>5174</v>
      </c>
    </row>
    <row r="123" spans="1:2" x14ac:dyDescent="0.2">
      <c r="A123" t="s">
        <v>5175</v>
      </c>
      <c r="B123" t="s">
        <v>5175</v>
      </c>
    </row>
    <row r="124" spans="1:2" x14ac:dyDescent="0.2">
      <c r="A124" t="s">
        <v>5176</v>
      </c>
      <c r="B124" t="s">
        <v>5176</v>
      </c>
    </row>
    <row r="125" spans="1:2" x14ac:dyDescent="0.2">
      <c r="A125" t="s">
        <v>5177</v>
      </c>
      <c r="B125" t="s">
        <v>5177</v>
      </c>
    </row>
    <row r="126" spans="1:2" x14ac:dyDescent="0.2">
      <c r="A126" t="s">
        <v>5178</v>
      </c>
      <c r="B126" t="s">
        <v>5178</v>
      </c>
    </row>
    <row r="127" spans="1:2" x14ac:dyDescent="0.2">
      <c r="A127" t="s">
        <v>5179</v>
      </c>
      <c r="B127" t="s">
        <v>5179</v>
      </c>
    </row>
    <row r="128" spans="1:2" x14ac:dyDescent="0.2">
      <c r="A128" t="s">
        <v>5180</v>
      </c>
      <c r="B128" t="s">
        <v>5180</v>
      </c>
    </row>
    <row r="129" spans="1:2" x14ac:dyDescent="0.2">
      <c r="A129" t="s">
        <v>5181</v>
      </c>
      <c r="B129" t="s">
        <v>5181</v>
      </c>
    </row>
    <row r="130" spans="1:2" x14ac:dyDescent="0.2">
      <c r="A130" t="s">
        <v>5182</v>
      </c>
      <c r="B130" t="s">
        <v>5182</v>
      </c>
    </row>
    <row r="131" spans="1:2" x14ac:dyDescent="0.2">
      <c r="A131" t="s">
        <v>5183</v>
      </c>
      <c r="B131" t="s">
        <v>5183</v>
      </c>
    </row>
    <row r="132" spans="1:2" x14ac:dyDescent="0.2">
      <c r="A132" t="s">
        <v>5184</v>
      </c>
      <c r="B132" t="s">
        <v>5184</v>
      </c>
    </row>
    <row r="133" spans="1:2" x14ac:dyDescent="0.2">
      <c r="A133" t="s">
        <v>5185</v>
      </c>
      <c r="B133" t="s">
        <v>5185</v>
      </c>
    </row>
    <row r="134" spans="1:2" x14ac:dyDescent="0.2">
      <c r="A134" t="s">
        <v>5186</v>
      </c>
      <c r="B134" t="s">
        <v>5186</v>
      </c>
    </row>
    <row r="135" spans="1:2" x14ac:dyDescent="0.2">
      <c r="A135" t="s">
        <v>5187</v>
      </c>
      <c r="B135" t="s">
        <v>5187</v>
      </c>
    </row>
    <row r="136" spans="1:2" x14ac:dyDescent="0.2">
      <c r="A136" t="s">
        <v>5188</v>
      </c>
      <c r="B136" t="s">
        <v>5188</v>
      </c>
    </row>
    <row r="137" spans="1:2" x14ac:dyDescent="0.2">
      <c r="A137" t="s">
        <v>5189</v>
      </c>
      <c r="B137" t="s">
        <v>5189</v>
      </c>
    </row>
    <row r="138" spans="1:2" x14ac:dyDescent="0.2">
      <c r="A138" t="s">
        <v>5190</v>
      </c>
      <c r="B138" t="s">
        <v>5190</v>
      </c>
    </row>
    <row r="139" spans="1:2" x14ac:dyDescent="0.2">
      <c r="A139" t="s">
        <v>5191</v>
      </c>
      <c r="B139" t="s">
        <v>5191</v>
      </c>
    </row>
    <row r="140" spans="1:2" x14ac:dyDescent="0.2">
      <c r="A140" t="s">
        <v>5192</v>
      </c>
      <c r="B140" t="s">
        <v>5192</v>
      </c>
    </row>
    <row r="141" spans="1:2" x14ac:dyDescent="0.2">
      <c r="A141" t="s">
        <v>5193</v>
      </c>
      <c r="B141" t="s">
        <v>5193</v>
      </c>
    </row>
    <row r="142" spans="1:2" x14ac:dyDescent="0.2">
      <c r="A142" t="s">
        <v>5194</v>
      </c>
      <c r="B142" t="s">
        <v>5194</v>
      </c>
    </row>
    <row r="143" spans="1:2" x14ac:dyDescent="0.2">
      <c r="A143" t="s">
        <v>5195</v>
      </c>
      <c r="B143" t="s">
        <v>5195</v>
      </c>
    </row>
    <row r="144" spans="1:2" x14ac:dyDescent="0.2">
      <c r="A144" t="s">
        <v>5196</v>
      </c>
      <c r="B144" t="s">
        <v>5196</v>
      </c>
    </row>
    <row r="145" spans="1:2" x14ac:dyDescent="0.2">
      <c r="A145" t="s">
        <v>5197</v>
      </c>
      <c r="B145" t="s">
        <v>5197</v>
      </c>
    </row>
    <row r="146" spans="1:2" x14ac:dyDescent="0.2">
      <c r="A146" t="s">
        <v>5198</v>
      </c>
      <c r="B146" t="s">
        <v>5198</v>
      </c>
    </row>
    <row r="147" spans="1:2" x14ac:dyDescent="0.2">
      <c r="A147" t="s">
        <v>5199</v>
      </c>
      <c r="B147" t="s">
        <v>5199</v>
      </c>
    </row>
    <row r="148" spans="1:2" x14ac:dyDescent="0.2">
      <c r="A148" t="s">
        <v>5200</v>
      </c>
      <c r="B148" t="s">
        <v>5200</v>
      </c>
    </row>
    <row r="149" spans="1:2" x14ac:dyDescent="0.2">
      <c r="A149" t="s">
        <v>5201</v>
      </c>
      <c r="B149" t="s">
        <v>5201</v>
      </c>
    </row>
    <row r="150" spans="1:2" x14ac:dyDescent="0.2">
      <c r="A150" t="s">
        <v>5202</v>
      </c>
      <c r="B150" t="s">
        <v>5202</v>
      </c>
    </row>
    <row r="151" spans="1:2" x14ac:dyDescent="0.2">
      <c r="A151" t="s">
        <v>5203</v>
      </c>
      <c r="B151" t="s">
        <v>5203</v>
      </c>
    </row>
    <row r="152" spans="1:2" x14ac:dyDescent="0.2">
      <c r="A152" t="s">
        <v>5204</v>
      </c>
      <c r="B152" t="s">
        <v>5204</v>
      </c>
    </row>
    <row r="153" spans="1:2" x14ac:dyDescent="0.2">
      <c r="A153" t="s">
        <v>5205</v>
      </c>
      <c r="B153" t="s">
        <v>5205</v>
      </c>
    </row>
    <row r="154" spans="1:2" x14ac:dyDescent="0.2">
      <c r="A154" t="s">
        <v>5206</v>
      </c>
      <c r="B154" t="s">
        <v>5206</v>
      </c>
    </row>
    <row r="155" spans="1:2" x14ac:dyDescent="0.2">
      <c r="A155" t="s">
        <v>5207</v>
      </c>
      <c r="B155" t="s">
        <v>5207</v>
      </c>
    </row>
    <row r="156" spans="1:2" x14ac:dyDescent="0.2">
      <c r="A156" t="s">
        <v>5208</v>
      </c>
      <c r="B156" t="s">
        <v>5208</v>
      </c>
    </row>
    <row r="157" spans="1:2" x14ac:dyDescent="0.2">
      <c r="A157" t="s">
        <v>5209</v>
      </c>
      <c r="B157" t="s">
        <v>5209</v>
      </c>
    </row>
    <row r="158" spans="1:2" x14ac:dyDescent="0.2">
      <c r="A158" t="s">
        <v>5210</v>
      </c>
      <c r="B158" t="s">
        <v>5210</v>
      </c>
    </row>
    <row r="159" spans="1:2" x14ac:dyDescent="0.2">
      <c r="A159" t="s">
        <v>5211</v>
      </c>
      <c r="B159" t="s">
        <v>5211</v>
      </c>
    </row>
    <row r="160" spans="1:2" x14ac:dyDescent="0.2">
      <c r="A160" t="s">
        <v>5212</v>
      </c>
      <c r="B160" t="s">
        <v>5212</v>
      </c>
    </row>
    <row r="161" spans="1:2" x14ac:dyDescent="0.2">
      <c r="A161" t="s">
        <v>5213</v>
      </c>
      <c r="B161" t="s">
        <v>5213</v>
      </c>
    </row>
    <row r="162" spans="1:2" x14ac:dyDescent="0.2">
      <c r="A162" t="s">
        <v>5214</v>
      </c>
      <c r="B162" t="s">
        <v>5214</v>
      </c>
    </row>
    <row r="163" spans="1:2" x14ac:dyDescent="0.2">
      <c r="A163" t="s">
        <v>5215</v>
      </c>
      <c r="B163" t="s">
        <v>5215</v>
      </c>
    </row>
    <row r="164" spans="1:2" x14ac:dyDescent="0.2">
      <c r="A164" t="s">
        <v>5216</v>
      </c>
      <c r="B164" t="s">
        <v>5216</v>
      </c>
    </row>
    <row r="165" spans="1:2" x14ac:dyDescent="0.2">
      <c r="A165" t="s">
        <v>5217</v>
      </c>
      <c r="B165" t="s">
        <v>5217</v>
      </c>
    </row>
    <row r="166" spans="1:2" x14ac:dyDescent="0.2">
      <c r="A166" t="s">
        <v>5218</v>
      </c>
      <c r="B166" t="s">
        <v>5218</v>
      </c>
    </row>
    <row r="167" spans="1:2" x14ac:dyDescent="0.2">
      <c r="A167" t="s">
        <v>5219</v>
      </c>
      <c r="B167" t="s">
        <v>5219</v>
      </c>
    </row>
    <row r="168" spans="1:2" x14ac:dyDescent="0.2">
      <c r="A168" t="s">
        <v>5220</v>
      </c>
      <c r="B168" t="s">
        <v>5220</v>
      </c>
    </row>
    <row r="169" spans="1:2" x14ac:dyDescent="0.2">
      <c r="A169" t="s">
        <v>5221</v>
      </c>
      <c r="B169" t="s">
        <v>5221</v>
      </c>
    </row>
    <row r="170" spans="1:2" x14ac:dyDescent="0.2">
      <c r="A170" t="s">
        <v>5222</v>
      </c>
      <c r="B170" t="s">
        <v>5222</v>
      </c>
    </row>
    <row r="171" spans="1:2" x14ac:dyDescent="0.2">
      <c r="A171" t="s">
        <v>5223</v>
      </c>
      <c r="B171" t="s">
        <v>5223</v>
      </c>
    </row>
    <row r="172" spans="1:2" x14ac:dyDescent="0.2">
      <c r="A172" t="s">
        <v>5224</v>
      </c>
      <c r="B172" t="s">
        <v>5224</v>
      </c>
    </row>
    <row r="173" spans="1:2" x14ac:dyDescent="0.2">
      <c r="A173" t="s">
        <v>5225</v>
      </c>
      <c r="B173" t="s">
        <v>5225</v>
      </c>
    </row>
    <row r="174" spans="1:2" x14ac:dyDescent="0.2">
      <c r="A174" t="s">
        <v>5226</v>
      </c>
      <c r="B174" t="s">
        <v>5226</v>
      </c>
    </row>
    <row r="175" spans="1:2" x14ac:dyDescent="0.2">
      <c r="A175" t="s">
        <v>5227</v>
      </c>
      <c r="B175" t="s">
        <v>5227</v>
      </c>
    </row>
    <row r="176" spans="1:2" x14ac:dyDescent="0.2">
      <c r="A176" t="s">
        <v>5228</v>
      </c>
      <c r="B176" t="s">
        <v>5228</v>
      </c>
    </row>
    <row r="177" spans="1:2" x14ac:dyDescent="0.2">
      <c r="A177" t="s">
        <v>5229</v>
      </c>
      <c r="B177" t="s">
        <v>5229</v>
      </c>
    </row>
    <row r="178" spans="1:2" x14ac:dyDescent="0.2">
      <c r="A178" t="s">
        <v>5230</v>
      </c>
      <c r="B178" t="s">
        <v>5230</v>
      </c>
    </row>
    <row r="179" spans="1:2" x14ac:dyDescent="0.2">
      <c r="A179" t="s">
        <v>5231</v>
      </c>
      <c r="B179" t="s">
        <v>5231</v>
      </c>
    </row>
    <row r="180" spans="1:2" x14ac:dyDescent="0.2">
      <c r="A180" t="s">
        <v>5232</v>
      </c>
      <c r="B180" t="s">
        <v>5232</v>
      </c>
    </row>
    <row r="181" spans="1:2" x14ac:dyDescent="0.2">
      <c r="A181" t="s">
        <v>5233</v>
      </c>
      <c r="B181" t="s">
        <v>5233</v>
      </c>
    </row>
    <row r="182" spans="1:2" x14ac:dyDescent="0.2">
      <c r="A182" t="s">
        <v>5234</v>
      </c>
      <c r="B182" t="s">
        <v>5234</v>
      </c>
    </row>
    <row r="183" spans="1:2" x14ac:dyDescent="0.2">
      <c r="A183" t="s">
        <v>5235</v>
      </c>
      <c r="B183" t="s">
        <v>5235</v>
      </c>
    </row>
    <row r="184" spans="1:2" x14ac:dyDescent="0.2">
      <c r="A184" t="s">
        <v>5236</v>
      </c>
      <c r="B184" t="s">
        <v>5236</v>
      </c>
    </row>
    <row r="185" spans="1:2" x14ac:dyDescent="0.2">
      <c r="A185" t="s">
        <v>5237</v>
      </c>
      <c r="B185" t="s">
        <v>5237</v>
      </c>
    </row>
    <row r="186" spans="1:2" x14ac:dyDescent="0.2">
      <c r="A186" t="s">
        <v>5238</v>
      </c>
      <c r="B186" t="s">
        <v>5238</v>
      </c>
    </row>
    <row r="187" spans="1:2" x14ac:dyDescent="0.2">
      <c r="A187" t="s">
        <v>5239</v>
      </c>
      <c r="B187" t="s">
        <v>5239</v>
      </c>
    </row>
    <row r="188" spans="1:2" x14ac:dyDescent="0.2">
      <c r="A188" t="s">
        <v>5240</v>
      </c>
      <c r="B188" t="s">
        <v>5240</v>
      </c>
    </row>
    <row r="189" spans="1:2" x14ac:dyDescent="0.2">
      <c r="A189" t="s">
        <v>5241</v>
      </c>
      <c r="B189" t="s">
        <v>5241</v>
      </c>
    </row>
    <row r="190" spans="1:2" x14ac:dyDescent="0.2">
      <c r="A190" t="s">
        <v>5242</v>
      </c>
      <c r="B190" t="s">
        <v>5242</v>
      </c>
    </row>
    <row r="191" spans="1:2" x14ac:dyDescent="0.2">
      <c r="A191" t="s">
        <v>5243</v>
      </c>
      <c r="B191" t="s">
        <v>5243</v>
      </c>
    </row>
    <row r="192" spans="1:2" x14ac:dyDescent="0.2">
      <c r="A192" t="s">
        <v>5244</v>
      </c>
      <c r="B192" t="s">
        <v>5244</v>
      </c>
    </row>
    <row r="193" spans="1:2" x14ac:dyDescent="0.2">
      <c r="A193" t="s">
        <v>5245</v>
      </c>
      <c r="B193" t="s">
        <v>5245</v>
      </c>
    </row>
    <row r="194" spans="1:2" x14ac:dyDescent="0.2">
      <c r="A194" t="s">
        <v>5246</v>
      </c>
      <c r="B194" t="s">
        <v>5246</v>
      </c>
    </row>
    <row r="195" spans="1:2" x14ac:dyDescent="0.2">
      <c r="A195" t="s">
        <v>5247</v>
      </c>
      <c r="B195" t="s">
        <v>5247</v>
      </c>
    </row>
    <row r="196" spans="1:2" x14ac:dyDescent="0.2">
      <c r="A196" t="s">
        <v>5248</v>
      </c>
      <c r="B196" t="s">
        <v>5248</v>
      </c>
    </row>
    <row r="197" spans="1:2" x14ac:dyDescent="0.2">
      <c r="A197" t="s">
        <v>5249</v>
      </c>
      <c r="B197" t="s">
        <v>5249</v>
      </c>
    </row>
    <row r="198" spans="1:2" x14ac:dyDescent="0.2">
      <c r="A198" t="s">
        <v>5250</v>
      </c>
      <c r="B198" t="s">
        <v>5250</v>
      </c>
    </row>
    <row r="199" spans="1:2" x14ac:dyDescent="0.2">
      <c r="A199" t="s">
        <v>5251</v>
      </c>
      <c r="B199" t="s">
        <v>5251</v>
      </c>
    </row>
    <row r="200" spans="1:2" x14ac:dyDescent="0.2">
      <c r="A200" t="s">
        <v>5252</v>
      </c>
      <c r="B200" t="s">
        <v>5252</v>
      </c>
    </row>
    <row r="201" spans="1:2" x14ac:dyDescent="0.2">
      <c r="A201" t="s">
        <v>5253</v>
      </c>
      <c r="B201" t="s">
        <v>5253</v>
      </c>
    </row>
    <row r="202" spans="1:2" x14ac:dyDescent="0.2">
      <c r="A202" t="s">
        <v>5254</v>
      </c>
      <c r="B202" t="s">
        <v>5254</v>
      </c>
    </row>
    <row r="203" spans="1:2" x14ac:dyDescent="0.2">
      <c r="A203" t="s">
        <v>5255</v>
      </c>
      <c r="B203" t="s">
        <v>5255</v>
      </c>
    </row>
    <row r="204" spans="1:2" x14ac:dyDescent="0.2">
      <c r="A204" t="s">
        <v>5256</v>
      </c>
      <c r="B204" t="s">
        <v>5256</v>
      </c>
    </row>
    <row r="205" spans="1:2" x14ac:dyDescent="0.2">
      <c r="A205" t="s">
        <v>5257</v>
      </c>
      <c r="B205" t="s">
        <v>5257</v>
      </c>
    </row>
    <row r="206" spans="1:2" x14ac:dyDescent="0.2">
      <c r="A206" t="s">
        <v>5258</v>
      </c>
      <c r="B206" t="s">
        <v>5258</v>
      </c>
    </row>
    <row r="207" spans="1:2" x14ac:dyDescent="0.2">
      <c r="A207" t="s">
        <v>5259</v>
      </c>
      <c r="B207" t="s">
        <v>5259</v>
      </c>
    </row>
    <row r="208" spans="1:2" x14ac:dyDescent="0.2">
      <c r="A208" t="s">
        <v>5260</v>
      </c>
      <c r="B208" t="s">
        <v>5260</v>
      </c>
    </row>
    <row r="209" spans="1:2" x14ac:dyDescent="0.2">
      <c r="A209" t="s">
        <v>5261</v>
      </c>
      <c r="B209" t="s">
        <v>5261</v>
      </c>
    </row>
    <row r="210" spans="1:2" x14ac:dyDescent="0.2">
      <c r="A210" t="s">
        <v>5262</v>
      </c>
      <c r="B210" t="s">
        <v>5262</v>
      </c>
    </row>
    <row r="211" spans="1:2" x14ac:dyDescent="0.2">
      <c r="A211" t="s">
        <v>5263</v>
      </c>
      <c r="B211" t="s">
        <v>5263</v>
      </c>
    </row>
    <row r="212" spans="1:2" x14ac:dyDescent="0.2">
      <c r="A212" t="s">
        <v>5264</v>
      </c>
      <c r="B212" t="s">
        <v>5264</v>
      </c>
    </row>
    <row r="213" spans="1:2" x14ac:dyDescent="0.2">
      <c r="A213" t="s">
        <v>5265</v>
      </c>
      <c r="B213" t="s">
        <v>5265</v>
      </c>
    </row>
    <row r="214" spans="1:2" x14ac:dyDescent="0.2">
      <c r="A214" t="s">
        <v>5266</v>
      </c>
      <c r="B214" t="s">
        <v>5266</v>
      </c>
    </row>
    <row r="215" spans="1:2" x14ac:dyDescent="0.2">
      <c r="A215" t="s">
        <v>5267</v>
      </c>
      <c r="B215" t="s">
        <v>5267</v>
      </c>
    </row>
    <row r="216" spans="1:2" x14ac:dyDescent="0.2">
      <c r="A216" t="s">
        <v>5268</v>
      </c>
      <c r="B216" t="s">
        <v>5268</v>
      </c>
    </row>
    <row r="217" spans="1:2" x14ac:dyDescent="0.2">
      <c r="A217" t="s">
        <v>5269</v>
      </c>
      <c r="B217" t="s">
        <v>5269</v>
      </c>
    </row>
    <row r="218" spans="1:2" x14ac:dyDescent="0.2">
      <c r="A218" t="s">
        <v>5270</v>
      </c>
      <c r="B218" t="s">
        <v>5270</v>
      </c>
    </row>
    <row r="219" spans="1:2" x14ac:dyDescent="0.2">
      <c r="A219" t="s">
        <v>5271</v>
      </c>
      <c r="B219" t="s">
        <v>5271</v>
      </c>
    </row>
    <row r="220" spans="1:2" x14ac:dyDescent="0.2">
      <c r="A220" t="s">
        <v>5272</v>
      </c>
      <c r="B220" t="s">
        <v>5272</v>
      </c>
    </row>
    <row r="221" spans="1:2" x14ac:dyDescent="0.2">
      <c r="A221" t="s">
        <v>5273</v>
      </c>
      <c r="B221" t="s">
        <v>5273</v>
      </c>
    </row>
    <row r="222" spans="1:2" x14ac:dyDescent="0.2">
      <c r="A222" t="s">
        <v>5274</v>
      </c>
      <c r="B222" t="s">
        <v>5274</v>
      </c>
    </row>
    <row r="223" spans="1:2" x14ac:dyDescent="0.2">
      <c r="A223" t="s">
        <v>5275</v>
      </c>
      <c r="B223" t="s">
        <v>5275</v>
      </c>
    </row>
    <row r="224" spans="1:2" x14ac:dyDescent="0.2">
      <c r="A224" t="s">
        <v>5276</v>
      </c>
      <c r="B224" t="s">
        <v>5276</v>
      </c>
    </row>
    <row r="225" spans="1:2" x14ac:dyDescent="0.2">
      <c r="A225" t="s">
        <v>5277</v>
      </c>
      <c r="B225" t="s">
        <v>5277</v>
      </c>
    </row>
    <row r="226" spans="1:2" x14ac:dyDescent="0.2">
      <c r="A226" t="s">
        <v>5278</v>
      </c>
      <c r="B226" t="s">
        <v>5278</v>
      </c>
    </row>
    <row r="227" spans="1:2" x14ac:dyDescent="0.2">
      <c r="A227" t="s">
        <v>5279</v>
      </c>
      <c r="B227" t="s">
        <v>5279</v>
      </c>
    </row>
    <row r="228" spans="1:2" x14ac:dyDescent="0.2">
      <c r="A228" t="s">
        <v>5280</v>
      </c>
      <c r="B228" t="s">
        <v>5280</v>
      </c>
    </row>
    <row r="229" spans="1:2" x14ac:dyDescent="0.2">
      <c r="A229" t="s">
        <v>5281</v>
      </c>
      <c r="B229" t="s">
        <v>5281</v>
      </c>
    </row>
    <row r="230" spans="1:2" x14ac:dyDescent="0.2">
      <c r="A230" t="s">
        <v>5282</v>
      </c>
      <c r="B230" t="s">
        <v>5282</v>
      </c>
    </row>
    <row r="231" spans="1:2" x14ac:dyDescent="0.2">
      <c r="A231" t="s">
        <v>5283</v>
      </c>
      <c r="B231" t="s">
        <v>5283</v>
      </c>
    </row>
    <row r="232" spans="1:2" x14ac:dyDescent="0.2">
      <c r="A232" t="s">
        <v>5284</v>
      </c>
      <c r="B232" t="s">
        <v>5284</v>
      </c>
    </row>
    <row r="233" spans="1:2" x14ac:dyDescent="0.2">
      <c r="A233" t="s">
        <v>5285</v>
      </c>
      <c r="B233" t="s">
        <v>5285</v>
      </c>
    </row>
    <row r="234" spans="1:2" x14ac:dyDescent="0.2">
      <c r="A234" t="s">
        <v>5286</v>
      </c>
      <c r="B234" t="s">
        <v>5286</v>
      </c>
    </row>
    <row r="235" spans="1:2" x14ac:dyDescent="0.2">
      <c r="A235" t="s">
        <v>5287</v>
      </c>
      <c r="B235" t="s">
        <v>5287</v>
      </c>
    </row>
    <row r="236" spans="1:2" x14ac:dyDescent="0.2">
      <c r="A236" t="s">
        <v>5288</v>
      </c>
      <c r="B236" t="s">
        <v>5288</v>
      </c>
    </row>
    <row r="237" spans="1:2" x14ac:dyDescent="0.2">
      <c r="A237" t="s">
        <v>5289</v>
      </c>
      <c r="B237" t="s">
        <v>5289</v>
      </c>
    </row>
    <row r="238" spans="1:2" x14ac:dyDescent="0.2">
      <c r="A238" t="s">
        <v>5290</v>
      </c>
      <c r="B238" t="s">
        <v>5290</v>
      </c>
    </row>
    <row r="239" spans="1:2" x14ac:dyDescent="0.2">
      <c r="A239" t="s">
        <v>5291</v>
      </c>
      <c r="B239" t="s">
        <v>5291</v>
      </c>
    </row>
    <row r="240" spans="1:2" x14ac:dyDescent="0.2">
      <c r="A240" t="s">
        <v>5292</v>
      </c>
      <c r="B240" t="s">
        <v>5292</v>
      </c>
    </row>
    <row r="241" spans="1:2" x14ac:dyDescent="0.2">
      <c r="A241" t="s">
        <v>5293</v>
      </c>
      <c r="B241" t="s">
        <v>5293</v>
      </c>
    </row>
    <row r="242" spans="1:2" x14ac:dyDescent="0.2">
      <c r="A242" t="s">
        <v>5294</v>
      </c>
      <c r="B242" t="s">
        <v>5294</v>
      </c>
    </row>
    <row r="243" spans="1:2" x14ac:dyDescent="0.2">
      <c r="A243" t="s">
        <v>5295</v>
      </c>
      <c r="B243" t="s">
        <v>5295</v>
      </c>
    </row>
    <row r="244" spans="1:2" x14ac:dyDescent="0.2">
      <c r="A244" t="s">
        <v>5296</v>
      </c>
      <c r="B244" t="s">
        <v>5296</v>
      </c>
    </row>
    <row r="245" spans="1:2" x14ac:dyDescent="0.2">
      <c r="A245" t="s">
        <v>5297</v>
      </c>
      <c r="B245" t="s">
        <v>5297</v>
      </c>
    </row>
    <row r="246" spans="1:2" x14ac:dyDescent="0.2">
      <c r="A246" t="s">
        <v>5298</v>
      </c>
      <c r="B246" t="s">
        <v>5298</v>
      </c>
    </row>
    <row r="247" spans="1:2" x14ac:dyDescent="0.2">
      <c r="A247" t="s">
        <v>5299</v>
      </c>
      <c r="B247" t="s">
        <v>5299</v>
      </c>
    </row>
    <row r="248" spans="1:2" x14ac:dyDescent="0.2">
      <c r="A248" t="s">
        <v>5300</v>
      </c>
      <c r="B248" t="s">
        <v>5300</v>
      </c>
    </row>
    <row r="249" spans="1:2" x14ac:dyDescent="0.2">
      <c r="A249" t="s">
        <v>5301</v>
      </c>
      <c r="B249" t="s">
        <v>5301</v>
      </c>
    </row>
    <row r="250" spans="1:2" x14ac:dyDescent="0.2">
      <c r="A250" t="s">
        <v>5302</v>
      </c>
      <c r="B250" t="s">
        <v>5302</v>
      </c>
    </row>
    <row r="251" spans="1:2" x14ac:dyDescent="0.2">
      <c r="A251" t="s">
        <v>5303</v>
      </c>
      <c r="B251" t="s">
        <v>5303</v>
      </c>
    </row>
    <row r="252" spans="1:2" x14ac:dyDescent="0.2">
      <c r="A252" t="s">
        <v>5304</v>
      </c>
      <c r="B252" t="s">
        <v>5304</v>
      </c>
    </row>
    <row r="253" spans="1:2" x14ac:dyDescent="0.2">
      <c r="A253" t="s">
        <v>5305</v>
      </c>
      <c r="B253" t="s">
        <v>5305</v>
      </c>
    </row>
    <row r="254" spans="1:2" x14ac:dyDescent="0.2">
      <c r="A254" t="s">
        <v>5306</v>
      </c>
      <c r="B254" t="s">
        <v>5306</v>
      </c>
    </row>
    <row r="255" spans="1:2" x14ac:dyDescent="0.2">
      <c r="A255" t="s">
        <v>5307</v>
      </c>
      <c r="B255" t="s">
        <v>5307</v>
      </c>
    </row>
    <row r="256" spans="1:2" x14ac:dyDescent="0.2">
      <c r="A256" t="s">
        <v>5308</v>
      </c>
      <c r="B256" t="s">
        <v>5308</v>
      </c>
    </row>
    <row r="257" spans="1:2" x14ac:dyDescent="0.2">
      <c r="A257" t="s">
        <v>5309</v>
      </c>
      <c r="B257" t="s">
        <v>5309</v>
      </c>
    </row>
    <row r="258" spans="1:2" x14ac:dyDescent="0.2">
      <c r="A258" t="s">
        <v>5310</v>
      </c>
      <c r="B258" t="s">
        <v>5310</v>
      </c>
    </row>
    <row r="259" spans="1:2" x14ac:dyDescent="0.2">
      <c r="A259" t="s">
        <v>5311</v>
      </c>
      <c r="B259" t="s">
        <v>5311</v>
      </c>
    </row>
    <row r="260" spans="1:2" x14ac:dyDescent="0.2">
      <c r="A260" t="s">
        <v>5312</v>
      </c>
      <c r="B260" t="s">
        <v>5312</v>
      </c>
    </row>
    <row r="261" spans="1:2" x14ac:dyDescent="0.2">
      <c r="A261" t="s">
        <v>5313</v>
      </c>
      <c r="B261" t="s">
        <v>5313</v>
      </c>
    </row>
    <row r="262" spans="1:2" x14ac:dyDescent="0.2">
      <c r="A262" t="s">
        <v>5314</v>
      </c>
      <c r="B262" t="s">
        <v>5314</v>
      </c>
    </row>
    <row r="263" spans="1:2" x14ac:dyDescent="0.2">
      <c r="A263" t="s">
        <v>5315</v>
      </c>
      <c r="B263" t="s">
        <v>5315</v>
      </c>
    </row>
    <row r="264" spans="1:2" x14ac:dyDescent="0.2">
      <c r="A264" t="s">
        <v>5316</v>
      </c>
      <c r="B264" t="s">
        <v>5316</v>
      </c>
    </row>
    <row r="265" spans="1:2" x14ac:dyDescent="0.2">
      <c r="A265" t="s">
        <v>5317</v>
      </c>
      <c r="B265" t="s">
        <v>5317</v>
      </c>
    </row>
    <row r="266" spans="1:2" x14ac:dyDescent="0.2">
      <c r="A266" t="s">
        <v>5318</v>
      </c>
      <c r="B266" t="s">
        <v>5318</v>
      </c>
    </row>
    <row r="267" spans="1:2" x14ac:dyDescent="0.2">
      <c r="A267" t="s">
        <v>5319</v>
      </c>
      <c r="B267" t="s">
        <v>5319</v>
      </c>
    </row>
    <row r="268" spans="1:2" x14ac:dyDescent="0.2">
      <c r="A268" t="s">
        <v>5320</v>
      </c>
      <c r="B268" t="s">
        <v>5320</v>
      </c>
    </row>
    <row r="269" spans="1:2" x14ac:dyDescent="0.2">
      <c r="A269" t="s">
        <v>5321</v>
      </c>
      <c r="B269" t="s">
        <v>5321</v>
      </c>
    </row>
    <row r="270" spans="1:2" x14ac:dyDescent="0.2">
      <c r="A270" t="s">
        <v>5322</v>
      </c>
      <c r="B270" t="s">
        <v>5322</v>
      </c>
    </row>
    <row r="271" spans="1:2" x14ac:dyDescent="0.2">
      <c r="A271" t="s">
        <v>5323</v>
      </c>
      <c r="B271" t="s">
        <v>5323</v>
      </c>
    </row>
    <row r="272" spans="1:2" x14ac:dyDescent="0.2">
      <c r="A272" t="s">
        <v>5324</v>
      </c>
      <c r="B272" t="s">
        <v>5324</v>
      </c>
    </row>
    <row r="273" spans="1:2" x14ac:dyDescent="0.2">
      <c r="A273" t="s">
        <v>5325</v>
      </c>
      <c r="B273" t="s">
        <v>5325</v>
      </c>
    </row>
    <row r="274" spans="1:2" x14ac:dyDescent="0.2">
      <c r="A274" t="s">
        <v>5326</v>
      </c>
      <c r="B274" t="s">
        <v>5326</v>
      </c>
    </row>
    <row r="275" spans="1:2" x14ac:dyDescent="0.2">
      <c r="A275" t="s">
        <v>5327</v>
      </c>
      <c r="B275" t="s">
        <v>5327</v>
      </c>
    </row>
    <row r="276" spans="1:2" x14ac:dyDescent="0.2">
      <c r="A276" t="s">
        <v>5328</v>
      </c>
      <c r="B276" t="s">
        <v>5328</v>
      </c>
    </row>
    <row r="277" spans="1:2" x14ac:dyDescent="0.2">
      <c r="A277" t="s">
        <v>5329</v>
      </c>
      <c r="B277" t="s">
        <v>5329</v>
      </c>
    </row>
    <row r="278" spans="1:2" x14ac:dyDescent="0.2">
      <c r="A278" t="s">
        <v>5330</v>
      </c>
      <c r="B278" t="s">
        <v>5330</v>
      </c>
    </row>
    <row r="279" spans="1:2" x14ac:dyDescent="0.2">
      <c r="A279" t="s">
        <v>5331</v>
      </c>
      <c r="B279" t="s">
        <v>5331</v>
      </c>
    </row>
    <row r="280" spans="1:2" x14ac:dyDescent="0.2">
      <c r="A280" t="s">
        <v>5332</v>
      </c>
      <c r="B280" t="s">
        <v>5332</v>
      </c>
    </row>
    <row r="281" spans="1:2" x14ac:dyDescent="0.2">
      <c r="A281" t="s">
        <v>5333</v>
      </c>
      <c r="B281" t="s">
        <v>5333</v>
      </c>
    </row>
    <row r="282" spans="1:2" x14ac:dyDescent="0.2">
      <c r="A282" t="s">
        <v>5334</v>
      </c>
      <c r="B282" t="s">
        <v>5334</v>
      </c>
    </row>
    <row r="283" spans="1:2" x14ac:dyDescent="0.2">
      <c r="A283" t="s">
        <v>5335</v>
      </c>
      <c r="B283" t="s">
        <v>5335</v>
      </c>
    </row>
    <row r="284" spans="1:2" x14ac:dyDescent="0.2">
      <c r="A284" t="s">
        <v>5336</v>
      </c>
      <c r="B284" t="s">
        <v>5336</v>
      </c>
    </row>
    <row r="285" spans="1:2" x14ac:dyDescent="0.2">
      <c r="A285" t="s">
        <v>5337</v>
      </c>
      <c r="B285" t="s">
        <v>5337</v>
      </c>
    </row>
    <row r="286" spans="1:2" x14ac:dyDescent="0.2">
      <c r="A286" t="s">
        <v>5338</v>
      </c>
      <c r="B286" t="s">
        <v>5338</v>
      </c>
    </row>
    <row r="287" spans="1:2" x14ac:dyDescent="0.2">
      <c r="A287" t="s">
        <v>5339</v>
      </c>
      <c r="B287" t="s">
        <v>5339</v>
      </c>
    </row>
    <row r="288" spans="1:2" x14ac:dyDescent="0.2">
      <c r="A288" t="s">
        <v>5340</v>
      </c>
      <c r="B288" t="s">
        <v>5340</v>
      </c>
    </row>
    <row r="289" spans="1:2" x14ac:dyDescent="0.2">
      <c r="A289" t="s">
        <v>5341</v>
      </c>
      <c r="B289" t="s">
        <v>5341</v>
      </c>
    </row>
    <row r="290" spans="1:2" x14ac:dyDescent="0.2">
      <c r="A290" t="s">
        <v>5342</v>
      </c>
      <c r="B290" t="s">
        <v>5342</v>
      </c>
    </row>
    <row r="291" spans="1:2" x14ac:dyDescent="0.2">
      <c r="A291" t="s">
        <v>5343</v>
      </c>
      <c r="B291" t="s">
        <v>5343</v>
      </c>
    </row>
    <row r="292" spans="1:2" x14ac:dyDescent="0.2">
      <c r="A292" t="s">
        <v>5344</v>
      </c>
      <c r="B292" t="s">
        <v>5344</v>
      </c>
    </row>
    <row r="293" spans="1:2" x14ac:dyDescent="0.2">
      <c r="A293" t="s">
        <v>5345</v>
      </c>
      <c r="B293" t="s">
        <v>5345</v>
      </c>
    </row>
    <row r="294" spans="1:2" x14ac:dyDescent="0.2">
      <c r="A294" t="s">
        <v>5346</v>
      </c>
      <c r="B294" t="s">
        <v>5346</v>
      </c>
    </row>
    <row r="295" spans="1:2" x14ac:dyDescent="0.2">
      <c r="A295" t="s">
        <v>5347</v>
      </c>
      <c r="B295" t="s">
        <v>5347</v>
      </c>
    </row>
    <row r="296" spans="1:2" x14ac:dyDescent="0.2">
      <c r="A296" t="s">
        <v>5348</v>
      </c>
      <c r="B296" t="s">
        <v>5348</v>
      </c>
    </row>
    <row r="297" spans="1:2" x14ac:dyDescent="0.2">
      <c r="A297" t="s">
        <v>5349</v>
      </c>
      <c r="B297" t="s">
        <v>5349</v>
      </c>
    </row>
    <row r="298" spans="1:2" x14ac:dyDescent="0.2">
      <c r="A298" t="s">
        <v>5350</v>
      </c>
      <c r="B298" t="s">
        <v>5350</v>
      </c>
    </row>
    <row r="299" spans="1:2" x14ac:dyDescent="0.2">
      <c r="A299" t="s">
        <v>5351</v>
      </c>
      <c r="B299" t="s">
        <v>5351</v>
      </c>
    </row>
    <row r="300" spans="1:2" x14ac:dyDescent="0.2">
      <c r="A300" t="s">
        <v>5352</v>
      </c>
      <c r="B300" t="s">
        <v>5352</v>
      </c>
    </row>
    <row r="301" spans="1:2" x14ac:dyDescent="0.2">
      <c r="A301" t="s">
        <v>5353</v>
      </c>
      <c r="B301" t="s">
        <v>5353</v>
      </c>
    </row>
    <row r="302" spans="1:2" x14ac:dyDescent="0.2">
      <c r="A302" t="s">
        <v>5354</v>
      </c>
      <c r="B302" t="s">
        <v>5354</v>
      </c>
    </row>
    <row r="303" spans="1:2" x14ac:dyDescent="0.2">
      <c r="A303" t="s">
        <v>5355</v>
      </c>
      <c r="B303" t="s">
        <v>5355</v>
      </c>
    </row>
    <row r="304" spans="1:2" x14ac:dyDescent="0.2">
      <c r="A304" t="s">
        <v>5356</v>
      </c>
      <c r="B304" t="s">
        <v>5356</v>
      </c>
    </row>
    <row r="305" spans="1:2" x14ac:dyDescent="0.2">
      <c r="A305" t="s">
        <v>5357</v>
      </c>
      <c r="B305" t="s">
        <v>5357</v>
      </c>
    </row>
    <row r="306" spans="1:2" x14ac:dyDescent="0.2">
      <c r="A306" t="s">
        <v>5358</v>
      </c>
      <c r="B306" t="s">
        <v>5358</v>
      </c>
    </row>
    <row r="307" spans="1:2" x14ac:dyDescent="0.2">
      <c r="A307" t="s">
        <v>5359</v>
      </c>
      <c r="B307" t="s">
        <v>5359</v>
      </c>
    </row>
    <row r="308" spans="1:2" x14ac:dyDescent="0.2">
      <c r="A308" t="s">
        <v>5360</v>
      </c>
      <c r="B308" t="s">
        <v>5360</v>
      </c>
    </row>
    <row r="309" spans="1:2" x14ac:dyDescent="0.2">
      <c r="A309" t="s">
        <v>5361</v>
      </c>
      <c r="B309" t="s">
        <v>5361</v>
      </c>
    </row>
    <row r="310" spans="1:2" x14ac:dyDescent="0.2">
      <c r="A310" t="s">
        <v>5362</v>
      </c>
      <c r="B310" t="s">
        <v>5362</v>
      </c>
    </row>
    <row r="311" spans="1:2" x14ac:dyDescent="0.2">
      <c r="A311" t="s">
        <v>5363</v>
      </c>
      <c r="B311" t="s">
        <v>5363</v>
      </c>
    </row>
    <row r="312" spans="1:2" x14ac:dyDescent="0.2">
      <c r="A312" t="s">
        <v>5364</v>
      </c>
      <c r="B312" t="s">
        <v>5364</v>
      </c>
    </row>
    <row r="313" spans="1:2" x14ac:dyDescent="0.2">
      <c r="A313" t="s">
        <v>5365</v>
      </c>
      <c r="B313" t="s">
        <v>5365</v>
      </c>
    </row>
    <row r="314" spans="1:2" x14ac:dyDescent="0.2">
      <c r="A314" t="s">
        <v>5366</v>
      </c>
      <c r="B314" t="s">
        <v>5366</v>
      </c>
    </row>
    <row r="315" spans="1:2" x14ac:dyDescent="0.2">
      <c r="A315" t="s">
        <v>5367</v>
      </c>
      <c r="B315" t="s">
        <v>5367</v>
      </c>
    </row>
    <row r="316" spans="1:2" x14ac:dyDescent="0.2">
      <c r="A316" t="s">
        <v>5368</v>
      </c>
      <c r="B316" t="s">
        <v>5368</v>
      </c>
    </row>
    <row r="317" spans="1:2" x14ac:dyDescent="0.2">
      <c r="A317" t="s">
        <v>5369</v>
      </c>
      <c r="B317" t="s">
        <v>5369</v>
      </c>
    </row>
    <row r="318" spans="1:2" x14ac:dyDescent="0.2">
      <c r="A318" t="s">
        <v>5370</v>
      </c>
      <c r="B318" t="s">
        <v>5370</v>
      </c>
    </row>
    <row r="319" spans="1:2" x14ac:dyDescent="0.2">
      <c r="A319" t="s">
        <v>5371</v>
      </c>
      <c r="B319" t="s">
        <v>5371</v>
      </c>
    </row>
    <row r="320" spans="1:2" x14ac:dyDescent="0.2">
      <c r="A320" t="s">
        <v>5372</v>
      </c>
      <c r="B320" t="s">
        <v>5372</v>
      </c>
    </row>
    <row r="321" spans="1:2" x14ac:dyDescent="0.2">
      <c r="A321" t="s">
        <v>5373</v>
      </c>
      <c r="B321" t="s">
        <v>5373</v>
      </c>
    </row>
    <row r="322" spans="1:2" x14ac:dyDescent="0.2">
      <c r="A322" t="s">
        <v>5374</v>
      </c>
      <c r="B322" t="s">
        <v>5374</v>
      </c>
    </row>
    <row r="323" spans="1:2" x14ac:dyDescent="0.2">
      <c r="A323" t="s">
        <v>5375</v>
      </c>
      <c r="B323" t="s">
        <v>5375</v>
      </c>
    </row>
    <row r="324" spans="1:2" x14ac:dyDescent="0.2">
      <c r="A324" t="s">
        <v>5376</v>
      </c>
      <c r="B324" t="s">
        <v>5376</v>
      </c>
    </row>
    <row r="325" spans="1:2" x14ac:dyDescent="0.2">
      <c r="A325" t="s">
        <v>5377</v>
      </c>
      <c r="B325" t="s">
        <v>5377</v>
      </c>
    </row>
    <row r="326" spans="1:2" x14ac:dyDescent="0.2">
      <c r="A326" t="s">
        <v>5378</v>
      </c>
      <c r="B326" t="s">
        <v>5378</v>
      </c>
    </row>
    <row r="327" spans="1:2" x14ac:dyDescent="0.2">
      <c r="A327" t="s">
        <v>5379</v>
      </c>
      <c r="B327" t="s">
        <v>5379</v>
      </c>
    </row>
    <row r="328" spans="1:2" x14ac:dyDescent="0.2">
      <c r="A328" t="s">
        <v>5380</v>
      </c>
      <c r="B328" t="s">
        <v>5380</v>
      </c>
    </row>
    <row r="329" spans="1:2" x14ac:dyDescent="0.2">
      <c r="A329" t="s">
        <v>5381</v>
      </c>
      <c r="B329" t="s">
        <v>5381</v>
      </c>
    </row>
    <row r="330" spans="1:2" x14ac:dyDescent="0.2">
      <c r="A330" t="s">
        <v>5382</v>
      </c>
      <c r="B330" t="s">
        <v>5382</v>
      </c>
    </row>
    <row r="331" spans="1:2" x14ac:dyDescent="0.2">
      <c r="A331" t="s">
        <v>5383</v>
      </c>
      <c r="B331" t="s">
        <v>5383</v>
      </c>
    </row>
    <row r="332" spans="1:2" x14ac:dyDescent="0.2">
      <c r="A332" t="s">
        <v>5384</v>
      </c>
      <c r="B332" t="s">
        <v>5384</v>
      </c>
    </row>
    <row r="333" spans="1:2" x14ac:dyDescent="0.2">
      <c r="A333" t="s">
        <v>5385</v>
      </c>
      <c r="B333" t="s">
        <v>5385</v>
      </c>
    </row>
    <row r="334" spans="1:2" x14ac:dyDescent="0.2">
      <c r="A334" t="s">
        <v>5386</v>
      </c>
      <c r="B334" t="s">
        <v>5386</v>
      </c>
    </row>
    <row r="335" spans="1:2" x14ac:dyDescent="0.2">
      <c r="A335" t="s">
        <v>5387</v>
      </c>
      <c r="B335" t="s">
        <v>5387</v>
      </c>
    </row>
    <row r="336" spans="1:2" x14ac:dyDescent="0.2">
      <c r="A336" t="s">
        <v>5388</v>
      </c>
      <c r="B336" t="s">
        <v>5388</v>
      </c>
    </row>
    <row r="337" spans="1:2" x14ac:dyDescent="0.2">
      <c r="A337" t="s">
        <v>5389</v>
      </c>
      <c r="B337" t="s">
        <v>5389</v>
      </c>
    </row>
    <row r="338" spans="1:2" x14ac:dyDescent="0.2">
      <c r="A338" t="s">
        <v>5390</v>
      </c>
      <c r="B338" t="s">
        <v>5390</v>
      </c>
    </row>
    <row r="339" spans="1:2" x14ac:dyDescent="0.2">
      <c r="A339" t="s">
        <v>5391</v>
      </c>
      <c r="B339" t="s">
        <v>5392</v>
      </c>
    </row>
    <row r="340" spans="1:2" x14ac:dyDescent="0.2">
      <c r="A340" t="s">
        <v>5393</v>
      </c>
      <c r="B340" t="s">
        <v>5393</v>
      </c>
    </row>
    <row r="341" spans="1:2" x14ac:dyDescent="0.2">
      <c r="A341" t="s">
        <v>5394</v>
      </c>
      <c r="B341" t="s">
        <v>5394</v>
      </c>
    </row>
    <row r="342" spans="1:2" x14ac:dyDescent="0.2">
      <c r="A342" t="s">
        <v>5395</v>
      </c>
      <c r="B342" t="s">
        <v>5395</v>
      </c>
    </row>
    <row r="343" spans="1:2" x14ac:dyDescent="0.2">
      <c r="A343" t="s">
        <v>5396</v>
      </c>
      <c r="B343" t="s">
        <v>5396</v>
      </c>
    </row>
    <row r="344" spans="1:2" x14ac:dyDescent="0.2">
      <c r="A344" t="s">
        <v>5397</v>
      </c>
      <c r="B344" t="s">
        <v>5397</v>
      </c>
    </row>
    <row r="345" spans="1:2" x14ac:dyDescent="0.2">
      <c r="A345" t="s">
        <v>5398</v>
      </c>
      <c r="B345" t="s">
        <v>5398</v>
      </c>
    </row>
    <row r="346" spans="1:2" x14ac:dyDescent="0.2">
      <c r="A346" t="s">
        <v>5399</v>
      </c>
      <c r="B346" t="s">
        <v>5399</v>
      </c>
    </row>
    <row r="347" spans="1:2" x14ac:dyDescent="0.2">
      <c r="A347" t="s">
        <v>5400</v>
      </c>
      <c r="B347" t="s">
        <v>5400</v>
      </c>
    </row>
    <row r="348" spans="1:2" x14ac:dyDescent="0.2">
      <c r="A348" t="s">
        <v>5401</v>
      </c>
      <c r="B348" t="s">
        <v>5401</v>
      </c>
    </row>
    <row r="349" spans="1:2" x14ac:dyDescent="0.2">
      <c r="A349" t="s">
        <v>5402</v>
      </c>
      <c r="B349" t="s">
        <v>5402</v>
      </c>
    </row>
    <row r="350" spans="1:2" x14ac:dyDescent="0.2">
      <c r="A350" t="s">
        <v>5403</v>
      </c>
      <c r="B350" t="s">
        <v>5403</v>
      </c>
    </row>
    <row r="351" spans="1:2" x14ac:dyDescent="0.2">
      <c r="A351" t="s">
        <v>5404</v>
      </c>
      <c r="B351" t="s">
        <v>5404</v>
      </c>
    </row>
    <row r="352" spans="1:2" x14ac:dyDescent="0.2">
      <c r="A352" t="s">
        <v>5405</v>
      </c>
      <c r="B352" t="s">
        <v>5405</v>
      </c>
    </row>
    <row r="353" spans="1:2" x14ac:dyDescent="0.2">
      <c r="A353" t="s">
        <v>5406</v>
      </c>
      <c r="B353" t="s">
        <v>5406</v>
      </c>
    </row>
    <row r="354" spans="1:2" x14ac:dyDescent="0.2">
      <c r="A354" t="s">
        <v>5407</v>
      </c>
      <c r="B354" t="s">
        <v>5407</v>
      </c>
    </row>
    <row r="355" spans="1:2" x14ac:dyDescent="0.2">
      <c r="A355" t="s">
        <v>5408</v>
      </c>
      <c r="B355" t="s">
        <v>5408</v>
      </c>
    </row>
    <row r="356" spans="1:2" x14ac:dyDescent="0.2">
      <c r="A356" t="s">
        <v>5409</v>
      </c>
      <c r="B356" t="s">
        <v>5409</v>
      </c>
    </row>
    <row r="357" spans="1:2" x14ac:dyDescent="0.2">
      <c r="A357" t="s">
        <v>5410</v>
      </c>
      <c r="B357" t="s">
        <v>5410</v>
      </c>
    </row>
    <row r="358" spans="1:2" x14ac:dyDescent="0.2">
      <c r="A358" t="s">
        <v>5411</v>
      </c>
      <c r="B358" t="s">
        <v>5411</v>
      </c>
    </row>
    <row r="359" spans="1:2" x14ac:dyDescent="0.2">
      <c r="A359" t="s">
        <v>5412</v>
      </c>
      <c r="B359" t="s">
        <v>5412</v>
      </c>
    </row>
    <row r="360" spans="1:2" x14ac:dyDescent="0.2">
      <c r="A360" t="s">
        <v>5413</v>
      </c>
      <c r="B360" t="s">
        <v>5413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baseColWidth="10" defaultRowHeight="15" x14ac:dyDescent="0.2"/>
  <sheetData>
    <row r="1" spans="1:2" x14ac:dyDescent="0.2">
      <c r="A1" s="16" t="s">
        <v>1484</v>
      </c>
      <c r="B1" s="16" t="s">
        <v>1485</v>
      </c>
    </row>
    <row r="2" spans="1:2" x14ac:dyDescent="0.2">
      <c r="A2" t="s">
        <v>5414</v>
      </c>
      <c r="B2" t="s">
        <v>5414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"/>
  <sheetViews>
    <sheetView workbookViewId="0">
      <selection activeCell="H39" sqref="H39"/>
    </sheetView>
  </sheetViews>
  <sheetFormatPr baseColWidth="10" defaultColWidth="10.83203125" defaultRowHeight="15" x14ac:dyDescent="0.2"/>
  <cols>
    <col min="1" max="1" width="10.83203125" style="10" customWidth="1"/>
    <col min="2" max="2" width="12.83203125" style="10" customWidth="1"/>
    <col min="3" max="3" width="10.83203125" style="10" customWidth="1"/>
    <col min="4" max="16384" width="10.83203125" style="10"/>
  </cols>
  <sheetData>
    <row r="1" spans="1:3" x14ac:dyDescent="0.2">
      <c r="A1" s="17" t="s">
        <v>1484</v>
      </c>
      <c r="B1" s="17" t="s">
        <v>1987</v>
      </c>
      <c r="C1" s="17" t="s">
        <v>1485</v>
      </c>
    </row>
    <row r="2" spans="1:3" x14ac:dyDescent="0.2">
      <c r="A2" s="10">
        <v>0</v>
      </c>
      <c r="B2" s="10" t="s">
        <v>5415</v>
      </c>
    </row>
    <row r="3" spans="1:3" x14ac:dyDescent="0.2">
      <c r="A3" s="10">
        <v>1</v>
      </c>
      <c r="B3" s="10" t="s">
        <v>5416</v>
      </c>
      <c r="C3" s="10" t="s">
        <v>5417</v>
      </c>
    </row>
    <row r="4" spans="1:3" x14ac:dyDescent="0.2">
      <c r="A4" s="10">
        <v>2</v>
      </c>
      <c r="B4" s="10" t="s">
        <v>5418</v>
      </c>
      <c r="C4" s="10" t="s">
        <v>5419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/>
  </sheetViews>
  <sheetFormatPr baseColWidth="10" defaultRowHeight="15" x14ac:dyDescent="0.2"/>
  <cols>
    <col min="1" max="1" width="23.83203125" bestFit="1" customWidth="1"/>
    <col min="2" max="2" width="27.164062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s="22" t="s">
        <v>5420</v>
      </c>
      <c r="B2" s="22" t="s">
        <v>5421</v>
      </c>
    </row>
    <row r="3" spans="1:2" x14ac:dyDescent="0.2">
      <c r="A3" s="22" t="s">
        <v>5422</v>
      </c>
      <c r="B3" t="s">
        <v>5422</v>
      </c>
    </row>
    <row r="4" spans="1:2" x14ac:dyDescent="0.2">
      <c r="A4" s="22" t="s">
        <v>5423</v>
      </c>
      <c r="B4" t="s">
        <v>5424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57"/>
  <sheetViews>
    <sheetView topLeftCell="A100" workbookViewId="0">
      <selection sqref="A1:B1048576"/>
    </sheetView>
  </sheetViews>
  <sheetFormatPr baseColWidth="10" defaultRowHeight="15" x14ac:dyDescent="0.2"/>
  <cols>
    <col min="2" max="2" width="16.5" customWidth="1"/>
  </cols>
  <sheetData>
    <row r="1" spans="1:2" s="16" customFormat="1" x14ac:dyDescent="0.2">
      <c r="A1" s="16" t="s">
        <v>1484</v>
      </c>
      <c r="B1" s="16" t="s">
        <v>1485</v>
      </c>
    </row>
    <row r="2" spans="1:2" x14ac:dyDescent="0.2">
      <c r="A2" t="s">
        <v>5425</v>
      </c>
      <c r="B2" t="s">
        <v>5425</v>
      </c>
    </row>
    <row r="3" spans="1:2" x14ac:dyDescent="0.2">
      <c r="A3" t="s">
        <v>5426</v>
      </c>
      <c r="B3" t="s">
        <v>5426</v>
      </c>
    </row>
    <row r="4" spans="1:2" x14ac:dyDescent="0.2">
      <c r="A4" t="s">
        <v>5427</v>
      </c>
      <c r="B4" t="s">
        <v>5427</v>
      </c>
    </row>
    <row r="5" spans="1:2" x14ac:dyDescent="0.2">
      <c r="A5" t="s">
        <v>5428</v>
      </c>
      <c r="B5" t="s">
        <v>5428</v>
      </c>
    </row>
    <row r="6" spans="1:2" x14ac:dyDescent="0.2">
      <c r="A6" t="s">
        <v>5429</v>
      </c>
      <c r="B6" t="s">
        <v>5429</v>
      </c>
    </row>
    <row r="7" spans="1:2" x14ac:dyDescent="0.2">
      <c r="A7" t="s">
        <v>5430</v>
      </c>
      <c r="B7" t="s">
        <v>5430</v>
      </c>
    </row>
    <row r="8" spans="1:2" x14ac:dyDescent="0.2">
      <c r="A8" t="s">
        <v>5431</v>
      </c>
      <c r="B8" t="s">
        <v>5431</v>
      </c>
    </row>
    <row r="9" spans="1:2" x14ac:dyDescent="0.2">
      <c r="A9" t="s">
        <v>5432</v>
      </c>
      <c r="B9" t="s">
        <v>5432</v>
      </c>
    </row>
    <row r="10" spans="1:2" x14ac:dyDescent="0.2">
      <c r="A10" t="s">
        <v>5433</v>
      </c>
      <c r="B10" t="s">
        <v>5433</v>
      </c>
    </row>
    <row r="11" spans="1:2" x14ac:dyDescent="0.2">
      <c r="A11" t="s">
        <v>5434</v>
      </c>
      <c r="B11" t="s">
        <v>5434</v>
      </c>
    </row>
    <row r="12" spans="1:2" x14ac:dyDescent="0.2">
      <c r="A12" t="s">
        <v>5435</v>
      </c>
      <c r="B12" t="s">
        <v>5435</v>
      </c>
    </row>
    <row r="13" spans="1:2" x14ac:dyDescent="0.2">
      <c r="A13" t="s">
        <v>5436</v>
      </c>
      <c r="B13" t="s">
        <v>5436</v>
      </c>
    </row>
    <row r="14" spans="1:2" x14ac:dyDescent="0.2">
      <c r="A14" t="s">
        <v>5437</v>
      </c>
      <c r="B14" t="s">
        <v>5437</v>
      </c>
    </row>
    <row r="15" spans="1:2" x14ac:dyDescent="0.2">
      <c r="A15" t="s">
        <v>5438</v>
      </c>
      <c r="B15" t="s">
        <v>5438</v>
      </c>
    </row>
    <row r="16" spans="1:2" x14ac:dyDescent="0.2">
      <c r="A16" t="s">
        <v>5439</v>
      </c>
      <c r="B16" t="s">
        <v>5439</v>
      </c>
    </row>
    <row r="17" spans="1:2" x14ac:dyDescent="0.2">
      <c r="A17" t="s">
        <v>5440</v>
      </c>
      <c r="B17" t="s">
        <v>5440</v>
      </c>
    </row>
    <row r="18" spans="1:2" x14ac:dyDescent="0.2">
      <c r="A18" t="s">
        <v>5441</v>
      </c>
      <c r="B18" t="s">
        <v>5441</v>
      </c>
    </row>
    <row r="19" spans="1:2" x14ac:dyDescent="0.2">
      <c r="A19" t="s">
        <v>5442</v>
      </c>
      <c r="B19" t="s">
        <v>5442</v>
      </c>
    </row>
    <row r="20" spans="1:2" x14ac:dyDescent="0.2">
      <c r="A20" t="s">
        <v>5443</v>
      </c>
      <c r="B20" t="s">
        <v>5443</v>
      </c>
    </row>
    <row r="21" spans="1:2" x14ac:dyDescent="0.2">
      <c r="A21" t="s">
        <v>5444</v>
      </c>
      <c r="B21" t="s">
        <v>5444</v>
      </c>
    </row>
    <row r="22" spans="1:2" x14ac:dyDescent="0.2">
      <c r="A22" t="s">
        <v>5445</v>
      </c>
      <c r="B22" t="s">
        <v>5445</v>
      </c>
    </row>
    <row r="23" spans="1:2" x14ac:dyDescent="0.2">
      <c r="A23" t="s">
        <v>5446</v>
      </c>
      <c r="B23" t="s">
        <v>5446</v>
      </c>
    </row>
    <row r="24" spans="1:2" x14ac:dyDescent="0.2">
      <c r="A24" t="s">
        <v>5447</v>
      </c>
      <c r="B24" t="s">
        <v>5447</v>
      </c>
    </row>
    <row r="25" spans="1:2" x14ac:dyDescent="0.2">
      <c r="A25" t="s">
        <v>5448</v>
      </c>
      <c r="B25" t="s">
        <v>5448</v>
      </c>
    </row>
    <row r="26" spans="1:2" x14ac:dyDescent="0.2">
      <c r="A26" t="s">
        <v>5449</v>
      </c>
      <c r="B26" t="s">
        <v>5449</v>
      </c>
    </row>
    <row r="27" spans="1:2" x14ac:dyDescent="0.2">
      <c r="A27" t="s">
        <v>5450</v>
      </c>
      <c r="B27" t="s">
        <v>5450</v>
      </c>
    </row>
    <row r="28" spans="1:2" x14ac:dyDescent="0.2">
      <c r="A28" t="s">
        <v>5451</v>
      </c>
      <c r="B28" t="s">
        <v>5451</v>
      </c>
    </row>
    <row r="29" spans="1:2" x14ac:dyDescent="0.2">
      <c r="A29" t="s">
        <v>5452</v>
      </c>
      <c r="B29" t="s">
        <v>5452</v>
      </c>
    </row>
    <row r="30" spans="1:2" x14ac:dyDescent="0.2">
      <c r="A30" t="s">
        <v>5453</v>
      </c>
      <c r="B30" t="s">
        <v>5453</v>
      </c>
    </row>
    <row r="31" spans="1:2" x14ac:dyDescent="0.2">
      <c r="A31" t="s">
        <v>5454</v>
      </c>
      <c r="B31" t="s">
        <v>5454</v>
      </c>
    </row>
    <row r="32" spans="1:2" x14ac:dyDescent="0.2">
      <c r="A32" t="s">
        <v>5455</v>
      </c>
      <c r="B32" t="s">
        <v>5455</v>
      </c>
    </row>
    <row r="33" spans="1:2" x14ac:dyDescent="0.2">
      <c r="A33" t="s">
        <v>5456</v>
      </c>
      <c r="B33" t="s">
        <v>5456</v>
      </c>
    </row>
    <row r="34" spans="1:2" x14ac:dyDescent="0.2">
      <c r="A34" t="s">
        <v>5457</v>
      </c>
      <c r="B34" t="s">
        <v>5457</v>
      </c>
    </row>
    <row r="35" spans="1:2" x14ac:dyDescent="0.2">
      <c r="A35" t="s">
        <v>5458</v>
      </c>
      <c r="B35" t="s">
        <v>5458</v>
      </c>
    </row>
    <row r="36" spans="1:2" x14ac:dyDescent="0.2">
      <c r="A36" t="s">
        <v>5459</v>
      </c>
      <c r="B36" t="s">
        <v>5459</v>
      </c>
    </row>
    <row r="37" spans="1:2" x14ac:dyDescent="0.2">
      <c r="A37" t="s">
        <v>5460</v>
      </c>
      <c r="B37" t="s">
        <v>5460</v>
      </c>
    </row>
    <row r="38" spans="1:2" x14ac:dyDescent="0.2">
      <c r="A38" t="s">
        <v>5461</v>
      </c>
      <c r="B38" t="s">
        <v>5461</v>
      </c>
    </row>
    <row r="39" spans="1:2" x14ac:dyDescent="0.2">
      <c r="A39" t="s">
        <v>5462</v>
      </c>
      <c r="B39" t="s">
        <v>5462</v>
      </c>
    </row>
    <row r="40" spans="1:2" x14ac:dyDescent="0.2">
      <c r="A40" t="s">
        <v>5463</v>
      </c>
      <c r="B40" t="s">
        <v>5463</v>
      </c>
    </row>
    <row r="41" spans="1:2" x14ac:dyDescent="0.2">
      <c r="A41" t="s">
        <v>5464</v>
      </c>
      <c r="B41" t="s">
        <v>5464</v>
      </c>
    </row>
    <row r="42" spans="1:2" x14ac:dyDescent="0.2">
      <c r="A42" t="s">
        <v>5465</v>
      </c>
      <c r="B42" t="s">
        <v>5465</v>
      </c>
    </row>
    <row r="43" spans="1:2" x14ac:dyDescent="0.2">
      <c r="A43" t="s">
        <v>5466</v>
      </c>
      <c r="B43" t="s">
        <v>5466</v>
      </c>
    </row>
    <row r="44" spans="1:2" x14ac:dyDescent="0.2">
      <c r="A44" t="s">
        <v>5467</v>
      </c>
      <c r="B44" t="s">
        <v>5467</v>
      </c>
    </row>
    <row r="45" spans="1:2" x14ac:dyDescent="0.2">
      <c r="A45" t="s">
        <v>5468</v>
      </c>
      <c r="B45" t="s">
        <v>5468</v>
      </c>
    </row>
    <row r="46" spans="1:2" x14ac:dyDescent="0.2">
      <c r="A46" t="s">
        <v>5469</v>
      </c>
      <c r="B46" t="s">
        <v>5469</v>
      </c>
    </row>
    <row r="47" spans="1:2" x14ac:dyDescent="0.2">
      <c r="A47" t="s">
        <v>5470</v>
      </c>
      <c r="B47" t="s">
        <v>5470</v>
      </c>
    </row>
    <row r="48" spans="1:2" x14ac:dyDescent="0.2">
      <c r="A48" t="s">
        <v>5471</v>
      </c>
      <c r="B48" t="s">
        <v>5471</v>
      </c>
    </row>
    <row r="49" spans="1:2" x14ac:dyDescent="0.2">
      <c r="A49" t="s">
        <v>5472</v>
      </c>
      <c r="B49" t="s">
        <v>5472</v>
      </c>
    </row>
    <row r="50" spans="1:2" x14ac:dyDescent="0.2">
      <c r="A50" t="s">
        <v>5473</v>
      </c>
      <c r="B50" t="s">
        <v>5473</v>
      </c>
    </row>
    <row r="51" spans="1:2" x14ac:dyDescent="0.2">
      <c r="A51" t="s">
        <v>5474</v>
      </c>
      <c r="B51" t="s">
        <v>5474</v>
      </c>
    </row>
    <row r="52" spans="1:2" x14ac:dyDescent="0.2">
      <c r="A52" t="s">
        <v>5475</v>
      </c>
      <c r="B52" t="s">
        <v>5475</v>
      </c>
    </row>
    <row r="53" spans="1:2" x14ac:dyDescent="0.2">
      <c r="A53" t="s">
        <v>5476</v>
      </c>
      <c r="B53" t="s">
        <v>5476</v>
      </c>
    </row>
    <row r="54" spans="1:2" x14ac:dyDescent="0.2">
      <c r="A54" t="s">
        <v>5477</v>
      </c>
      <c r="B54" t="s">
        <v>5477</v>
      </c>
    </row>
    <row r="55" spans="1:2" x14ac:dyDescent="0.2">
      <c r="A55" t="s">
        <v>5478</v>
      </c>
      <c r="B55" t="s">
        <v>5478</v>
      </c>
    </row>
    <row r="56" spans="1:2" x14ac:dyDescent="0.2">
      <c r="A56" t="s">
        <v>5479</v>
      </c>
      <c r="B56" t="s">
        <v>5479</v>
      </c>
    </row>
    <row r="57" spans="1:2" x14ac:dyDescent="0.2">
      <c r="A57" t="s">
        <v>5480</v>
      </c>
      <c r="B57" t="s">
        <v>5480</v>
      </c>
    </row>
    <row r="58" spans="1:2" x14ac:dyDescent="0.2">
      <c r="A58" t="s">
        <v>5481</v>
      </c>
      <c r="B58" t="s">
        <v>5481</v>
      </c>
    </row>
    <row r="59" spans="1:2" x14ac:dyDescent="0.2">
      <c r="A59" t="s">
        <v>5482</v>
      </c>
      <c r="B59" t="s">
        <v>5482</v>
      </c>
    </row>
    <row r="60" spans="1:2" x14ac:dyDescent="0.2">
      <c r="A60" t="s">
        <v>5483</v>
      </c>
      <c r="B60" t="s">
        <v>5483</v>
      </c>
    </row>
    <row r="61" spans="1:2" x14ac:dyDescent="0.2">
      <c r="A61" t="s">
        <v>5484</v>
      </c>
      <c r="B61" t="s">
        <v>5484</v>
      </c>
    </row>
    <row r="62" spans="1:2" x14ac:dyDescent="0.2">
      <c r="A62" t="s">
        <v>5485</v>
      </c>
      <c r="B62" t="s">
        <v>5485</v>
      </c>
    </row>
    <row r="63" spans="1:2" x14ac:dyDescent="0.2">
      <c r="A63" t="s">
        <v>5486</v>
      </c>
      <c r="B63" t="s">
        <v>5486</v>
      </c>
    </row>
    <row r="64" spans="1:2" x14ac:dyDescent="0.2">
      <c r="A64" t="s">
        <v>5487</v>
      </c>
      <c r="B64" t="s">
        <v>5487</v>
      </c>
    </row>
    <row r="65" spans="1:2" x14ac:dyDescent="0.2">
      <c r="A65" t="s">
        <v>5488</v>
      </c>
      <c r="B65" t="s">
        <v>5488</v>
      </c>
    </row>
    <row r="66" spans="1:2" x14ac:dyDescent="0.2">
      <c r="A66" t="s">
        <v>5489</v>
      </c>
      <c r="B66" t="s">
        <v>5489</v>
      </c>
    </row>
    <row r="67" spans="1:2" x14ac:dyDescent="0.2">
      <c r="A67" t="s">
        <v>5490</v>
      </c>
      <c r="B67" t="s">
        <v>5490</v>
      </c>
    </row>
    <row r="68" spans="1:2" x14ac:dyDescent="0.2">
      <c r="A68" t="s">
        <v>5491</v>
      </c>
      <c r="B68" t="s">
        <v>5491</v>
      </c>
    </row>
    <row r="69" spans="1:2" x14ac:dyDescent="0.2">
      <c r="A69" t="s">
        <v>5492</v>
      </c>
      <c r="B69" t="s">
        <v>5492</v>
      </c>
    </row>
    <row r="70" spans="1:2" x14ac:dyDescent="0.2">
      <c r="A70" t="s">
        <v>5493</v>
      </c>
      <c r="B70" t="s">
        <v>5493</v>
      </c>
    </row>
    <row r="71" spans="1:2" x14ac:dyDescent="0.2">
      <c r="A71" t="s">
        <v>5494</v>
      </c>
      <c r="B71" t="s">
        <v>5494</v>
      </c>
    </row>
    <row r="72" spans="1:2" x14ac:dyDescent="0.2">
      <c r="A72" t="s">
        <v>5495</v>
      </c>
      <c r="B72" t="s">
        <v>5495</v>
      </c>
    </row>
    <row r="73" spans="1:2" x14ac:dyDescent="0.2">
      <c r="A73" t="s">
        <v>5496</v>
      </c>
      <c r="B73" t="s">
        <v>5496</v>
      </c>
    </row>
    <row r="74" spans="1:2" x14ac:dyDescent="0.2">
      <c r="A74" t="s">
        <v>5497</v>
      </c>
      <c r="B74" t="s">
        <v>5497</v>
      </c>
    </row>
    <row r="75" spans="1:2" x14ac:dyDescent="0.2">
      <c r="A75" t="s">
        <v>5498</v>
      </c>
      <c r="B75" t="s">
        <v>5498</v>
      </c>
    </row>
    <row r="76" spans="1:2" x14ac:dyDescent="0.2">
      <c r="A76" t="s">
        <v>5499</v>
      </c>
      <c r="B76" t="s">
        <v>5499</v>
      </c>
    </row>
    <row r="77" spans="1:2" x14ac:dyDescent="0.2">
      <c r="A77" t="s">
        <v>5500</v>
      </c>
      <c r="B77" t="s">
        <v>5500</v>
      </c>
    </row>
    <row r="78" spans="1:2" x14ac:dyDescent="0.2">
      <c r="A78" t="s">
        <v>5501</v>
      </c>
      <c r="B78" t="s">
        <v>5501</v>
      </c>
    </row>
    <row r="79" spans="1:2" x14ac:dyDescent="0.2">
      <c r="A79" t="s">
        <v>5502</v>
      </c>
      <c r="B79" t="s">
        <v>5502</v>
      </c>
    </row>
    <row r="80" spans="1:2" x14ac:dyDescent="0.2">
      <c r="A80" t="s">
        <v>5503</v>
      </c>
      <c r="B80" t="s">
        <v>5503</v>
      </c>
    </row>
    <row r="81" spans="1:2" x14ac:dyDescent="0.2">
      <c r="A81" t="s">
        <v>5504</v>
      </c>
      <c r="B81" t="s">
        <v>5504</v>
      </c>
    </row>
    <row r="82" spans="1:2" x14ac:dyDescent="0.2">
      <c r="A82" t="s">
        <v>5505</v>
      </c>
      <c r="B82" t="s">
        <v>5505</v>
      </c>
    </row>
    <row r="83" spans="1:2" x14ac:dyDescent="0.2">
      <c r="A83" t="s">
        <v>5506</v>
      </c>
      <c r="B83" t="s">
        <v>5506</v>
      </c>
    </row>
    <row r="84" spans="1:2" x14ac:dyDescent="0.2">
      <c r="A84" t="s">
        <v>5507</v>
      </c>
      <c r="B84" t="s">
        <v>5507</v>
      </c>
    </row>
    <row r="85" spans="1:2" x14ac:dyDescent="0.2">
      <c r="A85" t="s">
        <v>5508</v>
      </c>
      <c r="B85" t="s">
        <v>5508</v>
      </c>
    </row>
    <row r="86" spans="1:2" x14ac:dyDescent="0.2">
      <c r="A86" t="s">
        <v>5509</v>
      </c>
      <c r="B86" t="s">
        <v>5509</v>
      </c>
    </row>
    <row r="87" spans="1:2" x14ac:dyDescent="0.2">
      <c r="A87" t="s">
        <v>5510</v>
      </c>
      <c r="B87" t="s">
        <v>5510</v>
      </c>
    </row>
    <row r="88" spans="1:2" x14ac:dyDescent="0.2">
      <c r="A88" t="s">
        <v>5511</v>
      </c>
      <c r="B88" t="s">
        <v>5511</v>
      </c>
    </row>
    <row r="89" spans="1:2" x14ac:dyDescent="0.2">
      <c r="A89" t="s">
        <v>5512</v>
      </c>
      <c r="B89" t="s">
        <v>5512</v>
      </c>
    </row>
    <row r="90" spans="1:2" x14ac:dyDescent="0.2">
      <c r="A90" t="s">
        <v>5513</v>
      </c>
      <c r="B90" t="s">
        <v>5513</v>
      </c>
    </row>
    <row r="91" spans="1:2" x14ac:dyDescent="0.2">
      <c r="A91" t="s">
        <v>5514</v>
      </c>
      <c r="B91" t="s">
        <v>5514</v>
      </c>
    </row>
    <row r="92" spans="1:2" x14ac:dyDescent="0.2">
      <c r="A92" t="s">
        <v>5515</v>
      </c>
      <c r="B92" t="s">
        <v>5515</v>
      </c>
    </row>
    <row r="93" spans="1:2" x14ac:dyDescent="0.2">
      <c r="A93" t="s">
        <v>5516</v>
      </c>
      <c r="B93" t="s">
        <v>5516</v>
      </c>
    </row>
    <row r="94" spans="1:2" x14ac:dyDescent="0.2">
      <c r="A94" t="s">
        <v>5517</v>
      </c>
      <c r="B94" t="s">
        <v>5517</v>
      </c>
    </row>
    <row r="95" spans="1:2" x14ac:dyDescent="0.2">
      <c r="A95" t="s">
        <v>5518</v>
      </c>
      <c r="B95" t="s">
        <v>5518</v>
      </c>
    </row>
    <row r="96" spans="1:2" x14ac:dyDescent="0.2">
      <c r="A96" t="s">
        <v>5519</v>
      </c>
      <c r="B96" t="s">
        <v>5519</v>
      </c>
    </row>
    <row r="97" spans="1:2" x14ac:dyDescent="0.2">
      <c r="A97" t="s">
        <v>5520</v>
      </c>
      <c r="B97" t="s">
        <v>5520</v>
      </c>
    </row>
    <row r="98" spans="1:2" x14ac:dyDescent="0.2">
      <c r="A98" t="s">
        <v>5521</v>
      </c>
      <c r="B98" t="s">
        <v>5521</v>
      </c>
    </row>
    <row r="99" spans="1:2" x14ac:dyDescent="0.2">
      <c r="A99" t="s">
        <v>5522</v>
      </c>
      <c r="B99" t="s">
        <v>5522</v>
      </c>
    </row>
    <row r="100" spans="1:2" x14ac:dyDescent="0.2">
      <c r="A100" t="s">
        <v>5523</v>
      </c>
      <c r="B100" t="s">
        <v>5523</v>
      </c>
    </row>
    <row r="101" spans="1:2" x14ac:dyDescent="0.2">
      <c r="A101" t="s">
        <v>5524</v>
      </c>
      <c r="B101" t="s">
        <v>5524</v>
      </c>
    </row>
    <row r="102" spans="1:2" x14ac:dyDescent="0.2">
      <c r="A102" t="s">
        <v>5525</v>
      </c>
      <c r="B102" t="s">
        <v>5525</v>
      </c>
    </row>
    <row r="103" spans="1:2" x14ac:dyDescent="0.2">
      <c r="A103" t="s">
        <v>5526</v>
      </c>
      <c r="B103" t="s">
        <v>5526</v>
      </c>
    </row>
    <row r="104" spans="1:2" x14ac:dyDescent="0.2">
      <c r="A104" t="s">
        <v>5527</v>
      </c>
      <c r="B104" t="s">
        <v>5527</v>
      </c>
    </row>
    <row r="105" spans="1:2" x14ac:dyDescent="0.2">
      <c r="A105" t="s">
        <v>5528</v>
      </c>
      <c r="B105" t="s">
        <v>5528</v>
      </c>
    </row>
    <row r="106" spans="1:2" x14ac:dyDescent="0.2">
      <c r="A106" t="s">
        <v>5529</v>
      </c>
      <c r="B106" t="s">
        <v>5529</v>
      </c>
    </row>
    <row r="107" spans="1:2" x14ac:dyDescent="0.2">
      <c r="A107" t="s">
        <v>5530</v>
      </c>
      <c r="B107" t="s">
        <v>5530</v>
      </c>
    </row>
    <row r="108" spans="1:2" x14ac:dyDescent="0.2">
      <c r="A108" t="s">
        <v>5531</v>
      </c>
      <c r="B108" t="s">
        <v>5531</v>
      </c>
    </row>
    <row r="109" spans="1:2" x14ac:dyDescent="0.2">
      <c r="A109" t="s">
        <v>5532</v>
      </c>
      <c r="B109" t="s">
        <v>5532</v>
      </c>
    </row>
    <row r="110" spans="1:2" x14ac:dyDescent="0.2">
      <c r="A110" t="s">
        <v>5533</v>
      </c>
      <c r="B110" t="s">
        <v>5533</v>
      </c>
    </row>
    <row r="111" spans="1:2" x14ac:dyDescent="0.2">
      <c r="A111" t="s">
        <v>5534</v>
      </c>
      <c r="B111" t="s">
        <v>5534</v>
      </c>
    </row>
    <row r="112" spans="1:2" x14ac:dyDescent="0.2">
      <c r="A112" t="s">
        <v>5535</v>
      </c>
      <c r="B112" t="s">
        <v>5535</v>
      </c>
    </row>
    <row r="113" spans="1:2" x14ac:dyDescent="0.2">
      <c r="A113" t="s">
        <v>5536</v>
      </c>
      <c r="B113" t="s">
        <v>5536</v>
      </c>
    </row>
    <row r="114" spans="1:2" x14ac:dyDescent="0.2">
      <c r="A114" t="s">
        <v>5537</v>
      </c>
      <c r="B114" t="s">
        <v>5537</v>
      </c>
    </row>
    <row r="115" spans="1:2" x14ac:dyDescent="0.2">
      <c r="A115" t="s">
        <v>5538</v>
      </c>
      <c r="B115" t="s">
        <v>5538</v>
      </c>
    </row>
    <row r="116" spans="1:2" x14ac:dyDescent="0.2">
      <c r="A116" t="s">
        <v>5539</v>
      </c>
      <c r="B116" t="s">
        <v>5539</v>
      </c>
    </row>
    <row r="117" spans="1:2" x14ac:dyDescent="0.2">
      <c r="A117" t="s">
        <v>5540</v>
      </c>
      <c r="B117" t="s">
        <v>5540</v>
      </c>
    </row>
    <row r="118" spans="1:2" x14ac:dyDescent="0.2">
      <c r="A118" t="s">
        <v>5541</v>
      </c>
      <c r="B118" t="s">
        <v>5541</v>
      </c>
    </row>
    <row r="119" spans="1:2" x14ac:dyDescent="0.2">
      <c r="A119" t="s">
        <v>5542</v>
      </c>
      <c r="B119" t="s">
        <v>5542</v>
      </c>
    </row>
    <row r="120" spans="1:2" x14ac:dyDescent="0.2">
      <c r="A120" t="s">
        <v>5543</v>
      </c>
      <c r="B120" t="s">
        <v>5543</v>
      </c>
    </row>
    <row r="121" spans="1:2" x14ac:dyDescent="0.2">
      <c r="A121" t="s">
        <v>5544</v>
      </c>
      <c r="B121" t="s">
        <v>5544</v>
      </c>
    </row>
    <row r="122" spans="1:2" x14ac:dyDescent="0.2">
      <c r="A122" t="s">
        <v>5545</v>
      </c>
      <c r="B122" t="s">
        <v>5545</v>
      </c>
    </row>
    <row r="123" spans="1:2" x14ac:dyDescent="0.2">
      <c r="A123" t="s">
        <v>5546</v>
      </c>
      <c r="B123" t="s">
        <v>5546</v>
      </c>
    </row>
    <row r="124" spans="1:2" x14ac:dyDescent="0.2">
      <c r="A124" t="s">
        <v>5547</v>
      </c>
      <c r="B124" t="s">
        <v>5547</v>
      </c>
    </row>
    <row r="125" spans="1:2" x14ac:dyDescent="0.2">
      <c r="A125" t="s">
        <v>5548</v>
      </c>
      <c r="B125" t="s">
        <v>5548</v>
      </c>
    </row>
    <row r="126" spans="1:2" x14ac:dyDescent="0.2">
      <c r="A126" t="s">
        <v>5549</v>
      </c>
      <c r="B126" t="s">
        <v>5549</v>
      </c>
    </row>
    <row r="127" spans="1:2" x14ac:dyDescent="0.2">
      <c r="A127" t="s">
        <v>5550</v>
      </c>
      <c r="B127" t="s">
        <v>5550</v>
      </c>
    </row>
    <row r="128" spans="1:2" x14ac:dyDescent="0.2">
      <c r="A128" t="s">
        <v>5551</v>
      </c>
      <c r="B128" t="s">
        <v>5551</v>
      </c>
    </row>
    <row r="129" spans="1:2" x14ac:dyDescent="0.2">
      <c r="A129" t="s">
        <v>5552</v>
      </c>
      <c r="B129" t="s">
        <v>5552</v>
      </c>
    </row>
    <row r="130" spans="1:2" x14ac:dyDescent="0.2">
      <c r="A130" t="s">
        <v>5553</v>
      </c>
      <c r="B130" t="s">
        <v>5553</v>
      </c>
    </row>
    <row r="131" spans="1:2" x14ac:dyDescent="0.2">
      <c r="A131" t="s">
        <v>5554</v>
      </c>
      <c r="B131" t="s">
        <v>5554</v>
      </c>
    </row>
    <row r="132" spans="1:2" x14ac:dyDescent="0.2">
      <c r="A132" t="s">
        <v>5555</v>
      </c>
      <c r="B132" t="s">
        <v>5555</v>
      </c>
    </row>
    <row r="133" spans="1:2" x14ac:dyDescent="0.2">
      <c r="A133" t="s">
        <v>5556</v>
      </c>
      <c r="B133" t="s">
        <v>5556</v>
      </c>
    </row>
    <row r="134" spans="1:2" x14ac:dyDescent="0.2">
      <c r="A134" t="s">
        <v>5557</v>
      </c>
      <c r="B134" t="s">
        <v>5557</v>
      </c>
    </row>
    <row r="135" spans="1:2" x14ac:dyDescent="0.2">
      <c r="A135" t="s">
        <v>5558</v>
      </c>
      <c r="B135" t="s">
        <v>5558</v>
      </c>
    </row>
    <row r="136" spans="1:2" x14ac:dyDescent="0.2">
      <c r="A136" t="s">
        <v>5559</v>
      </c>
      <c r="B136" t="s">
        <v>5559</v>
      </c>
    </row>
    <row r="137" spans="1:2" x14ac:dyDescent="0.2">
      <c r="A137" t="s">
        <v>5560</v>
      </c>
      <c r="B137" t="s">
        <v>5560</v>
      </c>
    </row>
    <row r="138" spans="1:2" x14ac:dyDescent="0.2">
      <c r="A138" t="s">
        <v>5561</v>
      </c>
      <c r="B138" t="s">
        <v>5561</v>
      </c>
    </row>
    <row r="139" spans="1:2" x14ac:dyDescent="0.2">
      <c r="A139" t="s">
        <v>5562</v>
      </c>
      <c r="B139" t="s">
        <v>5562</v>
      </c>
    </row>
    <row r="140" spans="1:2" x14ac:dyDescent="0.2">
      <c r="A140" t="s">
        <v>5563</v>
      </c>
      <c r="B140" t="s">
        <v>5563</v>
      </c>
    </row>
    <row r="141" spans="1:2" x14ac:dyDescent="0.2">
      <c r="A141" t="s">
        <v>5564</v>
      </c>
      <c r="B141" t="s">
        <v>5564</v>
      </c>
    </row>
    <row r="142" spans="1:2" x14ac:dyDescent="0.2">
      <c r="A142" t="s">
        <v>5565</v>
      </c>
      <c r="B142" t="s">
        <v>5565</v>
      </c>
    </row>
    <row r="143" spans="1:2" x14ac:dyDescent="0.2">
      <c r="A143" t="s">
        <v>5566</v>
      </c>
      <c r="B143" t="s">
        <v>5566</v>
      </c>
    </row>
    <row r="144" spans="1:2" x14ac:dyDescent="0.2">
      <c r="A144" t="s">
        <v>5567</v>
      </c>
      <c r="B144" t="s">
        <v>5567</v>
      </c>
    </row>
    <row r="145" spans="1:2" x14ac:dyDescent="0.2">
      <c r="A145" t="s">
        <v>5568</v>
      </c>
      <c r="B145" t="s">
        <v>5568</v>
      </c>
    </row>
    <row r="146" spans="1:2" x14ac:dyDescent="0.2">
      <c r="A146" t="s">
        <v>5569</v>
      </c>
      <c r="B146" t="s">
        <v>5569</v>
      </c>
    </row>
    <row r="147" spans="1:2" x14ac:dyDescent="0.2">
      <c r="A147" t="s">
        <v>5570</v>
      </c>
      <c r="B147" t="s">
        <v>5570</v>
      </c>
    </row>
    <row r="148" spans="1:2" x14ac:dyDescent="0.2">
      <c r="A148" t="s">
        <v>5571</v>
      </c>
      <c r="B148" t="s">
        <v>5571</v>
      </c>
    </row>
    <row r="149" spans="1:2" x14ac:dyDescent="0.2">
      <c r="A149" t="s">
        <v>5572</v>
      </c>
      <c r="B149" t="s">
        <v>5572</v>
      </c>
    </row>
    <row r="150" spans="1:2" x14ac:dyDescent="0.2">
      <c r="A150" t="s">
        <v>5573</v>
      </c>
      <c r="B150" t="s">
        <v>5573</v>
      </c>
    </row>
    <row r="151" spans="1:2" x14ac:dyDescent="0.2">
      <c r="A151" t="s">
        <v>5574</v>
      </c>
      <c r="B151" t="s">
        <v>5574</v>
      </c>
    </row>
    <row r="152" spans="1:2" x14ac:dyDescent="0.2">
      <c r="A152" t="s">
        <v>5575</v>
      </c>
      <c r="B152" t="s">
        <v>5575</v>
      </c>
    </row>
    <row r="153" spans="1:2" x14ac:dyDescent="0.2">
      <c r="A153" t="s">
        <v>5576</v>
      </c>
      <c r="B153" t="s">
        <v>5576</v>
      </c>
    </row>
    <row r="154" spans="1:2" x14ac:dyDescent="0.2">
      <c r="A154" t="s">
        <v>5577</v>
      </c>
      <c r="B154" t="s">
        <v>5577</v>
      </c>
    </row>
    <row r="155" spans="1:2" x14ac:dyDescent="0.2">
      <c r="A155" t="s">
        <v>5578</v>
      </c>
      <c r="B155" t="s">
        <v>5578</v>
      </c>
    </row>
    <row r="156" spans="1:2" x14ac:dyDescent="0.2">
      <c r="A156" t="s">
        <v>5579</v>
      </c>
      <c r="B156" t="s">
        <v>5579</v>
      </c>
    </row>
    <row r="157" spans="1:2" x14ac:dyDescent="0.2">
      <c r="A157" t="s">
        <v>5580</v>
      </c>
      <c r="B157" t="s">
        <v>5580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836"/>
  <sheetViews>
    <sheetView workbookViewId="0">
      <selection activeCell="B10" sqref="B10"/>
    </sheetView>
  </sheetViews>
  <sheetFormatPr baseColWidth="10" defaultRowHeight="15" x14ac:dyDescent="0.2"/>
  <cols>
    <col min="2" max="2" width="181.1640625" bestFit="1" customWidth="1"/>
  </cols>
  <sheetData>
    <row r="1" spans="1:2" x14ac:dyDescent="0.2">
      <c r="A1" s="16" t="s">
        <v>1484</v>
      </c>
      <c r="B1" s="16" t="s">
        <v>1485</v>
      </c>
    </row>
    <row r="2" spans="1:2" x14ac:dyDescent="0.2">
      <c r="A2" t="s">
        <v>2385</v>
      </c>
      <c r="B2" t="s">
        <v>5581</v>
      </c>
    </row>
    <row r="3" spans="1:2" x14ac:dyDescent="0.2">
      <c r="A3" t="s">
        <v>5582</v>
      </c>
      <c r="B3" t="s">
        <v>5583</v>
      </c>
    </row>
    <row r="4" spans="1:2" x14ac:dyDescent="0.2">
      <c r="A4" t="s">
        <v>5584</v>
      </c>
      <c r="B4" t="s">
        <v>5585</v>
      </c>
    </row>
    <row r="5" spans="1:2" x14ac:dyDescent="0.2">
      <c r="A5" t="s">
        <v>5586</v>
      </c>
      <c r="B5" t="s">
        <v>5587</v>
      </c>
    </row>
    <row r="6" spans="1:2" x14ac:dyDescent="0.2">
      <c r="A6" t="s">
        <v>5588</v>
      </c>
      <c r="B6" t="s">
        <v>5587</v>
      </c>
    </row>
    <row r="7" spans="1:2" x14ac:dyDescent="0.2">
      <c r="A7" t="s">
        <v>5589</v>
      </c>
      <c r="B7" t="s">
        <v>5590</v>
      </c>
    </row>
    <row r="8" spans="1:2" x14ac:dyDescent="0.2">
      <c r="A8" t="s">
        <v>5591</v>
      </c>
      <c r="B8" t="s">
        <v>5590</v>
      </c>
    </row>
    <row r="9" spans="1:2" x14ac:dyDescent="0.2">
      <c r="A9" t="s">
        <v>5592</v>
      </c>
      <c r="B9" t="s">
        <v>5593</v>
      </c>
    </row>
    <row r="10" spans="1:2" x14ac:dyDescent="0.2">
      <c r="A10" t="s">
        <v>5594</v>
      </c>
      <c r="B10" t="s">
        <v>5595</v>
      </c>
    </row>
    <row r="11" spans="1:2" x14ac:dyDescent="0.2">
      <c r="A11" t="s">
        <v>5596</v>
      </c>
      <c r="B11" t="s">
        <v>5597</v>
      </c>
    </row>
    <row r="12" spans="1:2" x14ac:dyDescent="0.2">
      <c r="A12" t="s">
        <v>5598</v>
      </c>
      <c r="B12" t="s">
        <v>5599</v>
      </c>
    </row>
    <row r="13" spans="1:2" x14ac:dyDescent="0.2">
      <c r="A13" t="s">
        <v>5600</v>
      </c>
      <c r="B13" t="s">
        <v>5599</v>
      </c>
    </row>
    <row r="14" spans="1:2" x14ac:dyDescent="0.2">
      <c r="A14" t="s">
        <v>5601</v>
      </c>
      <c r="B14" t="s">
        <v>5602</v>
      </c>
    </row>
    <row r="15" spans="1:2" x14ac:dyDescent="0.2">
      <c r="A15" t="s">
        <v>5603</v>
      </c>
      <c r="B15" t="s">
        <v>5602</v>
      </c>
    </row>
    <row r="16" spans="1:2" x14ac:dyDescent="0.2">
      <c r="A16" t="s">
        <v>5604</v>
      </c>
      <c r="B16" t="s">
        <v>5605</v>
      </c>
    </row>
    <row r="17" spans="1:2" x14ac:dyDescent="0.2">
      <c r="A17" t="s">
        <v>5606</v>
      </c>
      <c r="B17" t="s">
        <v>5605</v>
      </c>
    </row>
    <row r="18" spans="1:2" x14ac:dyDescent="0.2">
      <c r="A18" t="s">
        <v>5607</v>
      </c>
      <c r="B18" t="s">
        <v>5608</v>
      </c>
    </row>
    <row r="19" spans="1:2" x14ac:dyDescent="0.2">
      <c r="A19" t="s">
        <v>5609</v>
      </c>
      <c r="B19" t="s">
        <v>5610</v>
      </c>
    </row>
    <row r="20" spans="1:2" x14ac:dyDescent="0.2">
      <c r="A20" t="s">
        <v>5611</v>
      </c>
      <c r="B20" t="s">
        <v>5612</v>
      </c>
    </row>
    <row r="21" spans="1:2" x14ac:dyDescent="0.2">
      <c r="A21" t="s">
        <v>5613</v>
      </c>
      <c r="B21" t="s">
        <v>5614</v>
      </c>
    </row>
    <row r="22" spans="1:2" x14ac:dyDescent="0.2">
      <c r="A22" t="s">
        <v>5615</v>
      </c>
      <c r="B22" t="s">
        <v>5616</v>
      </c>
    </row>
    <row r="23" spans="1:2" x14ac:dyDescent="0.2">
      <c r="A23" t="s">
        <v>5617</v>
      </c>
      <c r="B23" t="s">
        <v>5618</v>
      </c>
    </row>
    <row r="24" spans="1:2" x14ac:dyDescent="0.2">
      <c r="A24" t="s">
        <v>5619</v>
      </c>
      <c r="B24" t="s">
        <v>5618</v>
      </c>
    </row>
    <row r="25" spans="1:2" x14ac:dyDescent="0.2">
      <c r="A25" t="s">
        <v>5620</v>
      </c>
      <c r="B25" t="s">
        <v>5621</v>
      </c>
    </row>
    <row r="26" spans="1:2" x14ac:dyDescent="0.2">
      <c r="A26" t="s">
        <v>5622</v>
      </c>
      <c r="B26" t="s">
        <v>5621</v>
      </c>
    </row>
    <row r="27" spans="1:2" x14ac:dyDescent="0.2">
      <c r="A27" t="s">
        <v>5623</v>
      </c>
      <c r="B27" t="s">
        <v>5624</v>
      </c>
    </row>
    <row r="28" spans="1:2" x14ac:dyDescent="0.2">
      <c r="A28" t="s">
        <v>5625</v>
      </c>
      <c r="B28" t="s">
        <v>5624</v>
      </c>
    </row>
    <row r="29" spans="1:2" x14ac:dyDescent="0.2">
      <c r="A29" t="s">
        <v>5626</v>
      </c>
      <c r="B29" t="s">
        <v>5627</v>
      </c>
    </row>
    <row r="30" spans="1:2" x14ac:dyDescent="0.2">
      <c r="A30" t="s">
        <v>5628</v>
      </c>
      <c r="B30" t="s">
        <v>5627</v>
      </c>
    </row>
    <row r="31" spans="1:2" x14ac:dyDescent="0.2">
      <c r="A31" t="s">
        <v>5629</v>
      </c>
      <c r="B31" t="s">
        <v>5630</v>
      </c>
    </row>
    <row r="32" spans="1:2" x14ac:dyDescent="0.2">
      <c r="A32" t="s">
        <v>5631</v>
      </c>
      <c r="B32" t="s">
        <v>5632</v>
      </c>
    </row>
    <row r="33" spans="1:2" x14ac:dyDescent="0.2">
      <c r="A33" t="s">
        <v>5633</v>
      </c>
      <c r="B33" t="s">
        <v>5634</v>
      </c>
    </row>
    <row r="34" spans="1:2" x14ac:dyDescent="0.2">
      <c r="A34" t="s">
        <v>5635</v>
      </c>
      <c r="B34" t="s">
        <v>5636</v>
      </c>
    </row>
    <row r="35" spans="1:2" x14ac:dyDescent="0.2">
      <c r="A35" t="s">
        <v>5637</v>
      </c>
      <c r="B35" t="s">
        <v>5636</v>
      </c>
    </row>
    <row r="36" spans="1:2" x14ac:dyDescent="0.2">
      <c r="A36" t="s">
        <v>5638</v>
      </c>
      <c r="B36" t="s">
        <v>5639</v>
      </c>
    </row>
    <row r="37" spans="1:2" x14ac:dyDescent="0.2">
      <c r="A37" t="s">
        <v>5640</v>
      </c>
      <c r="B37" t="s">
        <v>5639</v>
      </c>
    </row>
    <row r="38" spans="1:2" x14ac:dyDescent="0.2">
      <c r="A38" t="s">
        <v>5641</v>
      </c>
      <c r="B38" t="s">
        <v>5642</v>
      </c>
    </row>
    <row r="39" spans="1:2" x14ac:dyDescent="0.2">
      <c r="A39" t="s">
        <v>5643</v>
      </c>
      <c r="B39" t="s">
        <v>5642</v>
      </c>
    </row>
    <row r="40" spans="1:2" x14ac:dyDescent="0.2">
      <c r="A40" t="s">
        <v>5644</v>
      </c>
      <c r="B40" t="s">
        <v>5645</v>
      </c>
    </row>
    <row r="41" spans="1:2" x14ac:dyDescent="0.2">
      <c r="A41" t="s">
        <v>5646</v>
      </c>
      <c r="B41" t="s">
        <v>5645</v>
      </c>
    </row>
    <row r="42" spans="1:2" x14ac:dyDescent="0.2">
      <c r="A42" t="s">
        <v>5647</v>
      </c>
      <c r="B42" t="s">
        <v>5648</v>
      </c>
    </row>
    <row r="43" spans="1:2" x14ac:dyDescent="0.2">
      <c r="A43" t="s">
        <v>5649</v>
      </c>
      <c r="B43" t="s">
        <v>5648</v>
      </c>
    </row>
    <row r="44" spans="1:2" x14ac:dyDescent="0.2">
      <c r="A44" t="s">
        <v>5650</v>
      </c>
      <c r="B44" t="s">
        <v>5651</v>
      </c>
    </row>
    <row r="45" spans="1:2" x14ac:dyDescent="0.2">
      <c r="A45" t="s">
        <v>5652</v>
      </c>
      <c r="B45" t="s">
        <v>5653</v>
      </c>
    </row>
    <row r="46" spans="1:2" x14ac:dyDescent="0.2">
      <c r="A46" t="s">
        <v>5654</v>
      </c>
      <c r="B46" t="s">
        <v>5655</v>
      </c>
    </row>
    <row r="47" spans="1:2" x14ac:dyDescent="0.2">
      <c r="A47" t="s">
        <v>5656</v>
      </c>
      <c r="B47" t="s">
        <v>5657</v>
      </c>
    </row>
    <row r="48" spans="1:2" x14ac:dyDescent="0.2">
      <c r="A48" t="s">
        <v>5658</v>
      </c>
      <c r="B48" t="s">
        <v>5657</v>
      </c>
    </row>
    <row r="49" spans="1:2" x14ac:dyDescent="0.2">
      <c r="A49" t="s">
        <v>5659</v>
      </c>
      <c r="B49" t="s">
        <v>5660</v>
      </c>
    </row>
    <row r="50" spans="1:2" x14ac:dyDescent="0.2">
      <c r="A50" t="s">
        <v>5661</v>
      </c>
      <c r="B50" t="s">
        <v>5660</v>
      </c>
    </row>
    <row r="51" spans="1:2" x14ac:dyDescent="0.2">
      <c r="A51" t="s">
        <v>5662</v>
      </c>
      <c r="B51" t="s">
        <v>5663</v>
      </c>
    </row>
    <row r="52" spans="1:2" x14ac:dyDescent="0.2">
      <c r="A52" t="s">
        <v>5664</v>
      </c>
      <c r="B52" t="s">
        <v>5663</v>
      </c>
    </row>
    <row r="53" spans="1:2" x14ac:dyDescent="0.2">
      <c r="A53" t="s">
        <v>5665</v>
      </c>
      <c r="B53" t="s">
        <v>5666</v>
      </c>
    </row>
    <row r="54" spans="1:2" x14ac:dyDescent="0.2">
      <c r="A54" t="s">
        <v>5667</v>
      </c>
      <c r="B54" t="s">
        <v>5666</v>
      </c>
    </row>
    <row r="55" spans="1:2" x14ac:dyDescent="0.2">
      <c r="A55" t="s">
        <v>5668</v>
      </c>
      <c r="B55" t="s">
        <v>5669</v>
      </c>
    </row>
    <row r="56" spans="1:2" x14ac:dyDescent="0.2">
      <c r="A56" t="s">
        <v>5670</v>
      </c>
      <c r="B56" t="s">
        <v>5669</v>
      </c>
    </row>
    <row r="57" spans="1:2" x14ac:dyDescent="0.2">
      <c r="A57" t="s">
        <v>5671</v>
      </c>
      <c r="B57" t="s">
        <v>5672</v>
      </c>
    </row>
    <row r="58" spans="1:2" x14ac:dyDescent="0.2">
      <c r="A58" t="s">
        <v>5673</v>
      </c>
      <c r="B58" t="s">
        <v>5672</v>
      </c>
    </row>
    <row r="59" spans="1:2" x14ac:dyDescent="0.2">
      <c r="A59" t="s">
        <v>5674</v>
      </c>
      <c r="B59" t="s">
        <v>5675</v>
      </c>
    </row>
    <row r="60" spans="1:2" x14ac:dyDescent="0.2">
      <c r="A60" t="s">
        <v>5676</v>
      </c>
      <c r="B60" t="s">
        <v>5677</v>
      </c>
    </row>
    <row r="61" spans="1:2" x14ac:dyDescent="0.2">
      <c r="A61" t="s">
        <v>5678</v>
      </c>
      <c r="B61" t="s">
        <v>5679</v>
      </c>
    </row>
    <row r="62" spans="1:2" x14ac:dyDescent="0.2">
      <c r="A62" t="s">
        <v>5680</v>
      </c>
      <c r="B62" t="s">
        <v>5681</v>
      </c>
    </row>
    <row r="63" spans="1:2" x14ac:dyDescent="0.2">
      <c r="A63" t="s">
        <v>5682</v>
      </c>
      <c r="B63" t="s">
        <v>5683</v>
      </c>
    </row>
    <row r="64" spans="1:2" x14ac:dyDescent="0.2">
      <c r="A64" t="s">
        <v>5684</v>
      </c>
      <c r="B64" t="s">
        <v>5683</v>
      </c>
    </row>
    <row r="65" spans="1:2" x14ac:dyDescent="0.2">
      <c r="A65" t="s">
        <v>5685</v>
      </c>
      <c r="B65" t="s">
        <v>5686</v>
      </c>
    </row>
    <row r="66" spans="1:2" x14ac:dyDescent="0.2">
      <c r="A66" t="s">
        <v>5687</v>
      </c>
      <c r="B66" t="s">
        <v>5686</v>
      </c>
    </row>
    <row r="67" spans="1:2" x14ac:dyDescent="0.2">
      <c r="A67" t="s">
        <v>5688</v>
      </c>
      <c r="B67" t="s">
        <v>5686</v>
      </c>
    </row>
    <row r="68" spans="1:2" x14ac:dyDescent="0.2">
      <c r="A68" t="s">
        <v>5689</v>
      </c>
      <c r="B68" t="s">
        <v>5690</v>
      </c>
    </row>
    <row r="69" spans="1:2" x14ac:dyDescent="0.2">
      <c r="A69" t="s">
        <v>5691</v>
      </c>
      <c r="B69" t="s">
        <v>5692</v>
      </c>
    </row>
    <row r="70" spans="1:2" x14ac:dyDescent="0.2">
      <c r="A70" t="s">
        <v>5693</v>
      </c>
      <c r="B70" t="s">
        <v>5692</v>
      </c>
    </row>
    <row r="71" spans="1:2" x14ac:dyDescent="0.2">
      <c r="A71" t="s">
        <v>5694</v>
      </c>
      <c r="B71" t="s">
        <v>5695</v>
      </c>
    </row>
    <row r="72" spans="1:2" x14ac:dyDescent="0.2">
      <c r="A72" t="s">
        <v>5696</v>
      </c>
      <c r="B72" t="s">
        <v>5695</v>
      </c>
    </row>
    <row r="73" spans="1:2" x14ac:dyDescent="0.2">
      <c r="A73" t="s">
        <v>5697</v>
      </c>
      <c r="B73" t="s">
        <v>5698</v>
      </c>
    </row>
    <row r="74" spans="1:2" x14ac:dyDescent="0.2">
      <c r="A74" t="s">
        <v>5699</v>
      </c>
      <c r="B74" t="s">
        <v>5698</v>
      </c>
    </row>
    <row r="75" spans="1:2" x14ac:dyDescent="0.2">
      <c r="A75" t="s">
        <v>5700</v>
      </c>
      <c r="B75" t="s">
        <v>5701</v>
      </c>
    </row>
    <row r="76" spans="1:2" x14ac:dyDescent="0.2">
      <c r="A76" t="s">
        <v>5702</v>
      </c>
      <c r="B76" t="s">
        <v>5701</v>
      </c>
    </row>
    <row r="77" spans="1:2" x14ac:dyDescent="0.2">
      <c r="A77" t="s">
        <v>5703</v>
      </c>
      <c r="B77" t="s">
        <v>5704</v>
      </c>
    </row>
    <row r="78" spans="1:2" x14ac:dyDescent="0.2">
      <c r="A78" t="s">
        <v>5705</v>
      </c>
      <c r="B78" t="s">
        <v>5704</v>
      </c>
    </row>
    <row r="79" spans="1:2" x14ac:dyDescent="0.2">
      <c r="A79" t="s">
        <v>5706</v>
      </c>
      <c r="B79" t="s">
        <v>5704</v>
      </c>
    </row>
    <row r="80" spans="1:2" x14ac:dyDescent="0.2">
      <c r="A80" t="s">
        <v>5707</v>
      </c>
      <c r="B80" t="s">
        <v>5708</v>
      </c>
    </row>
    <row r="81" spans="1:2" x14ac:dyDescent="0.2">
      <c r="A81" t="s">
        <v>5709</v>
      </c>
      <c r="B81" t="s">
        <v>5710</v>
      </c>
    </row>
    <row r="82" spans="1:2" x14ac:dyDescent="0.2">
      <c r="A82" t="s">
        <v>5711</v>
      </c>
      <c r="B82" t="s">
        <v>5710</v>
      </c>
    </row>
    <row r="83" spans="1:2" x14ac:dyDescent="0.2">
      <c r="A83" t="s">
        <v>5712</v>
      </c>
      <c r="B83" t="s">
        <v>5710</v>
      </c>
    </row>
    <row r="84" spans="1:2" x14ac:dyDescent="0.2">
      <c r="A84" t="s">
        <v>5713</v>
      </c>
      <c r="B84" t="s">
        <v>5714</v>
      </c>
    </row>
    <row r="85" spans="1:2" x14ac:dyDescent="0.2">
      <c r="A85" t="s">
        <v>5715</v>
      </c>
      <c r="B85" t="s">
        <v>5714</v>
      </c>
    </row>
    <row r="86" spans="1:2" x14ac:dyDescent="0.2">
      <c r="A86" t="s">
        <v>5716</v>
      </c>
      <c r="B86" t="s">
        <v>5714</v>
      </c>
    </row>
    <row r="87" spans="1:2" x14ac:dyDescent="0.2">
      <c r="A87" t="s">
        <v>5717</v>
      </c>
      <c r="B87" t="s">
        <v>5718</v>
      </c>
    </row>
    <row r="88" spans="1:2" x14ac:dyDescent="0.2">
      <c r="A88" t="s">
        <v>5719</v>
      </c>
      <c r="B88" t="s">
        <v>5718</v>
      </c>
    </row>
    <row r="89" spans="1:2" x14ac:dyDescent="0.2">
      <c r="A89" t="s">
        <v>5720</v>
      </c>
      <c r="B89" t="s">
        <v>5718</v>
      </c>
    </row>
    <row r="90" spans="1:2" x14ac:dyDescent="0.2">
      <c r="A90" t="s">
        <v>5721</v>
      </c>
      <c r="B90" t="s">
        <v>5722</v>
      </c>
    </row>
    <row r="91" spans="1:2" x14ac:dyDescent="0.2">
      <c r="A91" t="s">
        <v>5723</v>
      </c>
      <c r="B91" t="s">
        <v>5722</v>
      </c>
    </row>
    <row r="92" spans="1:2" x14ac:dyDescent="0.2">
      <c r="A92" t="s">
        <v>5724</v>
      </c>
      <c r="B92" t="s">
        <v>5722</v>
      </c>
    </row>
    <row r="93" spans="1:2" x14ac:dyDescent="0.2">
      <c r="A93" t="s">
        <v>5725</v>
      </c>
      <c r="B93" t="s">
        <v>5726</v>
      </c>
    </row>
    <row r="94" spans="1:2" x14ac:dyDescent="0.2">
      <c r="A94" t="s">
        <v>5727</v>
      </c>
      <c r="B94" t="s">
        <v>5728</v>
      </c>
    </row>
    <row r="95" spans="1:2" x14ac:dyDescent="0.2">
      <c r="A95" t="s">
        <v>5729</v>
      </c>
      <c r="B95" t="s">
        <v>5730</v>
      </c>
    </row>
    <row r="96" spans="1:2" x14ac:dyDescent="0.2">
      <c r="A96" t="s">
        <v>5731</v>
      </c>
      <c r="B96" t="s">
        <v>5730</v>
      </c>
    </row>
    <row r="97" spans="1:2" x14ac:dyDescent="0.2">
      <c r="A97" t="s">
        <v>5732</v>
      </c>
      <c r="B97" t="s">
        <v>5733</v>
      </c>
    </row>
    <row r="98" spans="1:2" x14ac:dyDescent="0.2">
      <c r="A98" t="s">
        <v>5734</v>
      </c>
      <c r="B98" t="s">
        <v>5733</v>
      </c>
    </row>
    <row r="99" spans="1:2" x14ac:dyDescent="0.2">
      <c r="A99" t="s">
        <v>5735</v>
      </c>
      <c r="B99" t="s">
        <v>5736</v>
      </c>
    </row>
    <row r="100" spans="1:2" x14ac:dyDescent="0.2">
      <c r="A100" t="s">
        <v>5737</v>
      </c>
      <c r="B100" t="s">
        <v>5738</v>
      </c>
    </row>
    <row r="101" spans="1:2" x14ac:dyDescent="0.2">
      <c r="A101" t="s">
        <v>5739</v>
      </c>
      <c r="B101" t="s">
        <v>5738</v>
      </c>
    </row>
    <row r="102" spans="1:2" x14ac:dyDescent="0.2">
      <c r="A102" t="s">
        <v>5740</v>
      </c>
      <c r="B102" t="s">
        <v>5741</v>
      </c>
    </row>
    <row r="103" spans="1:2" x14ac:dyDescent="0.2">
      <c r="A103" t="s">
        <v>5742</v>
      </c>
      <c r="B103" t="s">
        <v>5741</v>
      </c>
    </row>
    <row r="104" spans="1:2" x14ac:dyDescent="0.2">
      <c r="A104" t="s">
        <v>2529</v>
      </c>
      <c r="B104" t="s">
        <v>5743</v>
      </c>
    </row>
    <row r="105" spans="1:2" x14ac:dyDescent="0.2">
      <c r="A105" t="s">
        <v>5744</v>
      </c>
      <c r="B105" t="s">
        <v>5745</v>
      </c>
    </row>
    <row r="106" spans="1:2" x14ac:dyDescent="0.2">
      <c r="A106" t="s">
        <v>5746</v>
      </c>
      <c r="B106" t="s">
        <v>5747</v>
      </c>
    </row>
    <row r="107" spans="1:2" x14ac:dyDescent="0.2">
      <c r="A107" t="s">
        <v>5748</v>
      </c>
      <c r="B107" t="s">
        <v>5747</v>
      </c>
    </row>
    <row r="108" spans="1:2" x14ac:dyDescent="0.2">
      <c r="A108" t="s">
        <v>5749</v>
      </c>
      <c r="B108" t="s">
        <v>5747</v>
      </c>
    </row>
    <row r="109" spans="1:2" x14ac:dyDescent="0.2">
      <c r="A109" t="s">
        <v>5750</v>
      </c>
      <c r="B109" t="s">
        <v>5751</v>
      </c>
    </row>
    <row r="110" spans="1:2" x14ac:dyDescent="0.2">
      <c r="A110" t="s">
        <v>5752</v>
      </c>
      <c r="B110" t="s">
        <v>5751</v>
      </c>
    </row>
    <row r="111" spans="1:2" x14ac:dyDescent="0.2">
      <c r="A111" t="s">
        <v>5753</v>
      </c>
      <c r="B111" t="s">
        <v>5751</v>
      </c>
    </row>
    <row r="112" spans="1:2" x14ac:dyDescent="0.2">
      <c r="A112" t="s">
        <v>5754</v>
      </c>
      <c r="B112" t="s">
        <v>5755</v>
      </c>
    </row>
    <row r="113" spans="1:2" x14ac:dyDescent="0.2">
      <c r="A113" t="s">
        <v>5756</v>
      </c>
      <c r="B113" t="s">
        <v>5757</v>
      </c>
    </row>
    <row r="114" spans="1:2" x14ac:dyDescent="0.2">
      <c r="A114" t="s">
        <v>5758</v>
      </c>
      <c r="B114" t="s">
        <v>5757</v>
      </c>
    </row>
    <row r="115" spans="1:2" x14ac:dyDescent="0.2">
      <c r="A115" t="s">
        <v>5759</v>
      </c>
      <c r="B115" t="s">
        <v>5757</v>
      </c>
    </row>
    <row r="116" spans="1:2" x14ac:dyDescent="0.2">
      <c r="A116" t="s">
        <v>5760</v>
      </c>
      <c r="B116" t="s">
        <v>5761</v>
      </c>
    </row>
    <row r="117" spans="1:2" x14ac:dyDescent="0.2">
      <c r="A117" t="s">
        <v>5762</v>
      </c>
      <c r="B117" t="s">
        <v>5761</v>
      </c>
    </row>
    <row r="118" spans="1:2" x14ac:dyDescent="0.2">
      <c r="A118" t="s">
        <v>5763</v>
      </c>
      <c r="B118" t="s">
        <v>5761</v>
      </c>
    </row>
    <row r="119" spans="1:2" x14ac:dyDescent="0.2">
      <c r="A119" t="s">
        <v>5764</v>
      </c>
      <c r="B119" t="s">
        <v>5765</v>
      </c>
    </row>
    <row r="120" spans="1:2" x14ac:dyDescent="0.2">
      <c r="A120" t="s">
        <v>5766</v>
      </c>
      <c r="B120" t="s">
        <v>5767</v>
      </c>
    </row>
    <row r="121" spans="1:2" x14ac:dyDescent="0.2">
      <c r="A121" t="s">
        <v>5768</v>
      </c>
      <c r="B121" t="s">
        <v>5767</v>
      </c>
    </row>
    <row r="122" spans="1:2" x14ac:dyDescent="0.2">
      <c r="A122" t="s">
        <v>5769</v>
      </c>
      <c r="B122" t="s">
        <v>5767</v>
      </c>
    </row>
    <row r="123" spans="1:2" x14ac:dyDescent="0.2">
      <c r="A123" t="s">
        <v>5770</v>
      </c>
      <c r="B123" t="s">
        <v>5771</v>
      </c>
    </row>
    <row r="124" spans="1:2" x14ac:dyDescent="0.2">
      <c r="A124" t="s">
        <v>5772</v>
      </c>
      <c r="B124" t="s">
        <v>5773</v>
      </c>
    </row>
    <row r="125" spans="1:2" x14ac:dyDescent="0.2">
      <c r="A125" t="s">
        <v>5774</v>
      </c>
      <c r="B125" t="s">
        <v>5773</v>
      </c>
    </row>
    <row r="126" spans="1:2" x14ac:dyDescent="0.2">
      <c r="A126" t="s">
        <v>5775</v>
      </c>
      <c r="B126" t="s">
        <v>5776</v>
      </c>
    </row>
    <row r="127" spans="1:2" x14ac:dyDescent="0.2">
      <c r="A127" t="s">
        <v>5777</v>
      </c>
      <c r="B127" t="s">
        <v>5776</v>
      </c>
    </row>
    <row r="128" spans="1:2" x14ac:dyDescent="0.2">
      <c r="A128" t="s">
        <v>5778</v>
      </c>
      <c r="B128" t="s">
        <v>5779</v>
      </c>
    </row>
    <row r="129" spans="1:2" x14ac:dyDescent="0.2">
      <c r="A129" t="s">
        <v>5780</v>
      </c>
      <c r="B129" t="s">
        <v>5781</v>
      </c>
    </row>
    <row r="130" spans="1:2" x14ac:dyDescent="0.2">
      <c r="A130" t="s">
        <v>5782</v>
      </c>
      <c r="B130" t="s">
        <v>5783</v>
      </c>
    </row>
    <row r="131" spans="1:2" x14ac:dyDescent="0.2">
      <c r="A131" t="s">
        <v>5784</v>
      </c>
      <c r="B131" t="s">
        <v>5783</v>
      </c>
    </row>
    <row r="132" spans="1:2" x14ac:dyDescent="0.2">
      <c r="A132" t="s">
        <v>5785</v>
      </c>
      <c r="B132" t="s">
        <v>5786</v>
      </c>
    </row>
    <row r="133" spans="1:2" x14ac:dyDescent="0.2">
      <c r="A133" t="s">
        <v>5787</v>
      </c>
      <c r="B133" t="s">
        <v>5786</v>
      </c>
    </row>
    <row r="134" spans="1:2" x14ac:dyDescent="0.2">
      <c r="A134" t="s">
        <v>5788</v>
      </c>
      <c r="B134" t="s">
        <v>5789</v>
      </c>
    </row>
    <row r="135" spans="1:2" x14ac:dyDescent="0.2">
      <c r="A135" t="s">
        <v>5790</v>
      </c>
      <c r="B135" t="s">
        <v>5791</v>
      </c>
    </row>
    <row r="136" spans="1:2" x14ac:dyDescent="0.2">
      <c r="A136" t="s">
        <v>5792</v>
      </c>
      <c r="B136" t="s">
        <v>5791</v>
      </c>
    </row>
    <row r="137" spans="1:2" x14ac:dyDescent="0.2">
      <c r="A137" t="s">
        <v>5793</v>
      </c>
      <c r="B137" t="s">
        <v>5794</v>
      </c>
    </row>
    <row r="138" spans="1:2" x14ac:dyDescent="0.2">
      <c r="A138" t="s">
        <v>5795</v>
      </c>
      <c r="B138" t="s">
        <v>5794</v>
      </c>
    </row>
    <row r="139" spans="1:2" x14ac:dyDescent="0.2">
      <c r="A139" t="s">
        <v>5796</v>
      </c>
      <c r="B139" t="s">
        <v>5797</v>
      </c>
    </row>
    <row r="140" spans="1:2" x14ac:dyDescent="0.2">
      <c r="A140" t="s">
        <v>5798</v>
      </c>
      <c r="B140" t="s">
        <v>5797</v>
      </c>
    </row>
    <row r="141" spans="1:2" x14ac:dyDescent="0.2">
      <c r="A141" t="s">
        <v>5799</v>
      </c>
      <c r="B141" t="s">
        <v>5800</v>
      </c>
    </row>
    <row r="142" spans="1:2" x14ac:dyDescent="0.2">
      <c r="A142" t="s">
        <v>5801</v>
      </c>
      <c r="B142" t="s">
        <v>5800</v>
      </c>
    </row>
    <row r="143" spans="1:2" x14ac:dyDescent="0.2">
      <c r="A143" t="s">
        <v>5802</v>
      </c>
      <c r="B143" t="s">
        <v>5803</v>
      </c>
    </row>
    <row r="144" spans="1:2" x14ac:dyDescent="0.2">
      <c r="A144" t="s">
        <v>5804</v>
      </c>
      <c r="B144" t="s">
        <v>5805</v>
      </c>
    </row>
    <row r="145" spans="1:2" x14ac:dyDescent="0.2">
      <c r="A145" t="s">
        <v>5806</v>
      </c>
      <c r="B145" t="s">
        <v>5805</v>
      </c>
    </row>
    <row r="146" spans="1:2" x14ac:dyDescent="0.2">
      <c r="A146" t="s">
        <v>5807</v>
      </c>
      <c r="B146" t="s">
        <v>5805</v>
      </c>
    </row>
    <row r="147" spans="1:2" x14ac:dyDescent="0.2">
      <c r="A147" t="s">
        <v>5808</v>
      </c>
      <c r="B147" t="s">
        <v>5809</v>
      </c>
    </row>
    <row r="148" spans="1:2" x14ac:dyDescent="0.2">
      <c r="A148" t="s">
        <v>5810</v>
      </c>
      <c r="B148" t="s">
        <v>5809</v>
      </c>
    </row>
    <row r="149" spans="1:2" x14ac:dyDescent="0.2">
      <c r="A149" t="s">
        <v>5811</v>
      </c>
      <c r="B149" t="s">
        <v>5809</v>
      </c>
    </row>
    <row r="150" spans="1:2" x14ac:dyDescent="0.2">
      <c r="A150" t="s">
        <v>2599</v>
      </c>
      <c r="B150" t="s">
        <v>5812</v>
      </c>
    </row>
    <row r="151" spans="1:2" x14ac:dyDescent="0.2">
      <c r="A151" t="s">
        <v>2601</v>
      </c>
      <c r="B151" t="s">
        <v>5813</v>
      </c>
    </row>
    <row r="152" spans="1:2" x14ac:dyDescent="0.2">
      <c r="A152" t="s">
        <v>2603</v>
      </c>
      <c r="B152" t="s">
        <v>5814</v>
      </c>
    </row>
    <row r="153" spans="1:2" x14ac:dyDescent="0.2">
      <c r="A153" t="s">
        <v>2606</v>
      </c>
      <c r="B153" t="s">
        <v>5815</v>
      </c>
    </row>
    <row r="154" spans="1:2" x14ac:dyDescent="0.2">
      <c r="A154" t="s">
        <v>5816</v>
      </c>
      <c r="B154" t="s">
        <v>5815</v>
      </c>
    </row>
    <row r="155" spans="1:2" x14ac:dyDescent="0.2">
      <c r="A155" t="s">
        <v>2609</v>
      </c>
      <c r="B155" t="s">
        <v>5817</v>
      </c>
    </row>
    <row r="156" spans="1:2" x14ac:dyDescent="0.2">
      <c r="A156" t="s">
        <v>5818</v>
      </c>
      <c r="B156" t="s">
        <v>5817</v>
      </c>
    </row>
    <row r="157" spans="1:2" x14ac:dyDescent="0.2">
      <c r="A157" t="s">
        <v>2612</v>
      </c>
      <c r="B157" t="s">
        <v>5819</v>
      </c>
    </row>
    <row r="158" spans="1:2" x14ac:dyDescent="0.2">
      <c r="A158" t="s">
        <v>5820</v>
      </c>
      <c r="B158" t="s">
        <v>5819</v>
      </c>
    </row>
    <row r="159" spans="1:2" x14ac:dyDescent="0.2">
      <c r="A159" t="s">
        <v>2614</v>
      </c>
      <c r="B159" t="s">
        <v>5821</v>
      </c>
    </row>
    <row r="160" spans="1:2" x14ac:dyDescent="0.2">
      <c r="A160" t="s">
        <v>2617</v>
      </c>
      <c r="B160" t="s">
        <v>5821</v>
      </c>
    </row>
    <row r="161" spans="1:2" x14ac:dyDescent="0.2">
      <c r="A161" t="s">
        <v>5822</v>
      </c>
      <c r="B161" t="s">
        <v>5821</v>
      </c>
    </row>
    <row r="162" spans="1:2" x14ac:dyDescent="0.2">
      <c r="A162" t="s">
        <v>2618</v>
      </c>
      <c r="B162" t="s">
        <v>5823</v>
      </c>
    </row>
    <row r="163" spans="1:2" x14ac:dyDescent="0.2">
      <c r="A163" t="s">
        <v>2621</v>
      </c>
      <c r="B163" t="s">
        <v>5824</v>
      </c>
    </row>
    <row r="164" spans="1:2" x14ac:dyDescent="0.2">
      <c r="A164" t="s">
        <v>5825</v>
      </c>
      <c r="B164" t="s">
        <v>5824</v>
      </c>
    </row>
    <row r="165" spans="1:2" x14ac:dyDescent="0.2">
      <c r="A165" t="s">
        <v>2624</v>
      </c>
      <c r="B165" t="s">
        <v>5826</v>
      </c>
    </row>
    <row r="166" spans="1:2" x14ac:dyDescent="0.2">
      <c r="A166" t="s">
        <v>5827</v>
      </c>
      <c r="B166" t="s">
        <v>5826</v>
      </c>
    </row>
    <row r="167" spans="1:2" x14ac:dyDescent="0.2">
      <c r="A167" t="s">
        <v>2627</v>
      </c>
      <c r="B167" t="s">
        <v>5828</v>
      </c>
    </row>
    <row r="168" spans="1:2" x14ac:dyDescent="0.2">
      <c r="A168" t="s">
        <v>5829</v>
      </c>
      <c r="B168" t="s">
        <v>5828</v>
      </c>
    </row>
    <row r="169" spans="1:2" x14ac:dyDescent="0.2">
      <c r="A169" t="s">
        <v>2629</v>
      </c>
      <c r="B169" t="s">
        <v>5830</v>
      </c>
    </row>
    <row r="170" spans="1:2" x14ac:dyDescent="0.2">
      <c r="A170" t="s">
        <v>2632</v>
      </c>
      <c r="B170" t="s">
        <v>5831</v>
      </c>
    </row>
    <row r="171" spans="1:2" x14ac:dyDescent="0.2">
      <c r="A171" t="s">
        <v>5832</v>
      </c>
      <c r="B171" t="s">
        <v>5831</v>
      </c>
    </row>
    <row r="172" spans="1:2" x14ac:dyDescent="0.2">
      <c r="A172" t="s">
        <v>2635</v>
      </c>
      <c r="B172" t="s">
        <v>5833</v>
      </c>
    </row>
    <row r="173" spans="1:2" x14ac:dyDescent="0.2">
      <c r="A173" t="s">
        <v>5834</v>
      </c>
      <c r="B173" t="s">
        <v>5833</v>
      </c>
    </row>
    <row r="174" spans="1:2" x14ac:dyDescent="0.2">
      <c r="A174" t="s">
        <v>2637</v>
      </c>
      <c r="B174" t="s">
        <v>5835</v>
      </c>
    </row>
    <row r="175" spans="1:2" x14ac:dyDescent="0.2">
      <c r="A175" t="s">
        <v>2640</v>
      </c>
      <c r="B175" t="s">
        <v>5836</v>
      </c>
    </row>
    <row r="176" spans="1:2" x14ac:dyDescent="0.2">
      <c r="A176" t="s">
        <v>5837</v>
      </c>
      <c r="B176" t="s">
        <v>5836</v>
      </c>
    </row>
    <row r="177" spans="1:2" x14ac:dyDescent="0.2">
      <c r="A177" t="s">
        <v>2643</v>
      </c>
      <c r="B177" t="s">
        <v>5838</v>
      </c>
    </row>
    <row r="178" spans="1:2" x14ac:dyDescent="0.2">
      <c r="A178" t="s">
        <v>5839</v>
      </c>
      <c r="B178" t="s">
        <v>5838</v>
      </c>
    </row>
    <row r="179" spans="1:2" x14ac:dyDescent="0.2">
      <c r="A179" t="s">
        <v>2645</v>
      </c>
      <c r="B179" t="s">
        <v>5840</v>
      </c>
    </row>
    <row r="180" spans="1:2" x14ac:dyDescent="0.2">
      <c r="A180" t="s">
        <v>2648</v>
      </c>
      <c r="B180" t="s">
        <v>5841</v>
      </c>
    </row>
    <row r="181" spans="1:2" x14ac:dyDescent="0.2">
      <c r="A181" t="s">
        <v>5842</v>
      </c>
      <c r="B181" t="s">
        <v>5841</v>
      </c>
    </row>
    <row r="182" spans="1:2" x14ac:dyDescent="0.2">
      <c r="A182" t="s">
        <v>2651</v>
      </c>
      <c r="B182" t="s">
        <v>5843</v>
      </c>
    </row>
    <row r="183" spans="1:2" x14ac:dyDescent="0.2">
      <c r="A183" t="s">
        <v>5844</v>
      </c>
      <c r="B183" t="s">
        <v>5843</v>
      </c>
    </row>
    <row r="184" spans="1:2" x14ac:dyDescent="0.2">
      <c r="A184" t="s">
        <v>2653</v>
      </c>
      <c r="B184" t="s">
        <v>5845</v>
      </c>
    </row>
    <row r="185" spans="1:2" x14ac:dyDescent="0.2">
      <c r="A185" t="s">
        <v>2656</v>
      </c>
      <c r="B185" t="s">
        <v>5846</v>
      </c>
    </row>
    <row r="186" spans="1:2" x14ac:dyDescent="0.2">
      <c r="A186" t="s">
        <v>5847</v>
      </c>
      <c r="B186" t="s">
        <v>5846</v>
      </c>
    </row>
    <row r="187" spans="1:2" x14ac:dyDescent="0.2">
      <c r="A187" t="s">
        <v>2659</v>
      </c>
      <c r="B187" t="s">
        <v>5848</v>
      </c>
    </row>
    <row r="188" spans="1:2" x14ac:dyDescent="0.2">
      <c r="A188" t="s">
        <v>5849</v>
      </c>
      <c r="B188" t="s">
        <v>5848</v>
      </c>
    </row>
    <row r="189" spans="1:2" x14ac:dyDescent="0.2">
      <c r="A189" t="s">
        <v>2662</v>
      </c>
      <c r="B189" t="s">
        <v>5850</v>
      </c>
    </row>
    <row r="190" spans="1:2" x14ac:dyDescent="0.2">
      <c r="A190" t="s">
        <v>5851</v>
      </c>
      <c r="B190" t="s">
        <v>5850</v>
      </c>
    </row>
    <row r="191" spans="1:2" x14ac:dyDescent="0.2">
      <c r="A191" t="s">
        <v>2664</v>
      </c>
      <c r="B191" t="s">
        <v>5852</v>
      </c>
    </row>
    <row r="192" spans="1:2" x14ac:dyDescent="0.2">
      <c r="A192" t="s">
        <v>2667</v>
      </c>
      <c r="B192" t="s">
        <v>5853</v>
      </c>
    </row>
    <row r="193" spans="1:2" x14ac:dyDescent="0.2">
      <c r="A193" t="s">
        <v>5854</v>
      </c>
      <c r="B193" t="s">
        <v>5853</v>
      </c>
    </row>
    <row r="194" spans="1:2" x14ac:dyDescent="0.2">
      <c r="A194" t="s">
        <v>2670</v>
      </c>
      <c r="B194" t="s">
        <v>5855</v>
      </c>
    </row>
    <row r="195" spans="1:2" x14ac:dyDescent="0.2">
      <c r="A195" t="s">
        <v>5856</v>
      </c>
      <c r="B195" t="s">
        <v>5855</v>
      </c>
    </row>
    <row r="196" spans="1:2" x14ac:dyDescent="0.2">
      <c r="A196" t="s">
        <v>2673</v>
      </c>
      <c r="B196" t="s">
        <v>5857</v>
      </c>
    </row>
    <row r="197" spans="1:2" x14ac:dyDescent="0.2">
      <c r="A197" t="s">
        <v>5858</v>
      </c>
      <c r="B197" t="s">
        <v>5857</v>
      </c>
    </row>
    <row r="198" spans="1:2" x14ac:dyDescent="0.2">
      <c r="A198" t="s">
        <v>2676</v>
      </c>
      <c r="B198" t="s">
        <v>5859</v>
      </c>
    </row>
    <row r="199" spans="1:2" x14ac:dyDescent="0.2">
      <c r="A199" t="s">
        <v>5860</v>
      </c>
      <c r="B199" t="s">
        <v>5859</v>
      </c>
    </row>
    <row r="200" spans="1:2" x14ac:dyDescent="0.2">
      <c r="A200" t="s">
        <v>2679</v>
      </c>
      <c r="B200" t="s">
        <v>5861</v>
      </c>
    </row>
    <row r="201" spans="1:2" x14ac:dyDescent="0.2">
      <c r="A201" t="s">
        <v>5862</v>
      </c>
      <c r="B201" t="s">
        <v>5861</v>
      </c>
    </row>
    <row r="202" spans="1:2" x14ac:dyDescent="0.2">
      <c r="A202" t="s">
        <v>2682</v>
      </c>
      <c r="B202" t="s">
        <v>5863</v>
      </c>
    </row>
    <row r="203" spans="1:2" x14ac:dyDescent="0.2">
      <c r="A203" t="s">
        <v>5864</v>
      </c>
      <c r="B203" t="s">
        <v>5863</v>
      </c>
    </row>
    <row r="204" spans="1:2" x14ac:dyDescent="0.2">
      <c r="A204" t="s">
        <v>2685</v>
      </c>
      <c r="B204" t="s">
        <v>5865</v>
      </c>
    </row>
    <row r="205" spans="1:2" x14ac:dyDescent="0.2">
      <c r="A205" t="s">
        <v>5866</v>
      </c>
      <c r="B205" t="s">
        <v>5865</v>
      </c>
    </row>
    <row r="206" spans="1:2" x14ac:dyDescent="0.2">
      <c r="A206" t="s">
        <v>2687</v>
      </c>
      <c r="B206" t="s">
        <v>5867</v>
      </c>
    </row>
    <row r="207" spans="1:2" x14ac:dyDescent="0.2">
      <c r="A207" t="s">
        <v>2690</v>
      </c>
      <c r="B207" t="s">
        <v>5868</v>
      </c>
    </row>
    <row r="208" spans="1:2" x14ac:dyDescent="0.2">
      <c r="A208" t="s">
        <v>5869</v>
      </c>
      <c r="B208" t="s">
        <v>5868</v>
      </c>
    </row>
    <row r="209" spans="1:2" x14ac:dyDescent="0.2">
      <c r="A209" t="s">
        <v>2693</v>
      </c>
      <c r="B209" t="s">
        <v>5870</v>
      </c>
    </row>
    <row r="210" spans="1:2" x14ac:dyDescent="0.2">
      <c r="A210" t="s">
        <v>5871</v>
      </c>
      <c r="B210" t="s">
        <v>5870</v>
      </c>
    </row>
    <row r="211" spans="1:2" x14ac:dyDescent="0.2">
      <c r="A211" t="s">
        <v>2695</v>
      </c>
      <c r="B211" t="s">
        <v>5872</v>
      </c>
    </row>
    <row r="212" spans="1:2" x14ac:dyDescent="0.2">
      <c r="A212" t="s">
        <v>2697</v>
      </c>
      <c r="B212" t="s">
        <v>5872</v>
      </c>
    </row>
    <row r="213" spans="1:2" x14ac:dyDescent="0.2">
      <c r="A213" t="s">
        <v>2699</v>
      </c>
      <c r="B213" t="s">
        <v>5873</v>
      </c>
    </row>
    <row r="214" spans="1:2" x14ac:dyDescent="0.2">
      <c r="A214" t="s">
        <v>5874</v>
      </c>
      <c r="B214" t="s">
        <v>5873</v>
      </c>
    </row>
    <row r="215" spans="1:2" x14ac:dyDescent="0.2">
      <c r="A215" t="s">
        <v>2702</v>
      </c>
      <c r="B215" t="s">
        <v>5875</v>
      </c>
    </row>
    <row r="216" spans="1:2" x14ac:dyDescent="0.2">
      <c r="A216" t="s">
        <v>5876</v>
      </c>
      <c r="B216" t="s">
        <v>5875</v>
      </c>
    </row>
    <row r="217" spans="1:2" x14ac:dyDescent="0.2">
      <c r="A217" t="s">
        <v>2705</v>
      </c>
      <c r="B217" t="s">
        <v>5877</v>
      </c>
    </row>
    <row r="218" spans="1:2" x14ac:dyDescent="0.2">
      <c r="A218" t="s">
        <v>5878</v>
      </c>
      <c r="B218" t="s">
        <v>5877</v>
      </c>
    </row>
    <row r="219" spans="1:2" x14ac:dyDescent="0.2">
      <c r="A219" t="s">
        <v>2708</v>
      </c>
      <c r="B219" t="s">
        <v>5879</v>
      </c>
    </row>
    <row r="220" spans="1:2" x14ac:dyDescent="0.2">
      <c r="A220" t="s">
        <v>5880</v>
      </c>
      <c r="B220" t="s">
        <v>5879</v>
      </c>
    </row>
    <row r="221" spans="1:2" x14ac:dyDescent="0.2">
      <c r="A221" t="s">
        <v>2711</v>
      </c>
      <c r="B221" t="s">
        <v>5881</v>
      </c>
    </row>
    <row r="222" spans="1:2" x14ac:dyDescent="0.2">
      <c r="A222" t="s">
        <v>5882</v>
      </c>
      <c r="B222" t="s">
        <v>5881</v>
      </c>
    </row>
    <row r="223" spans="1:2" x14ac:dyDescent="0.2">
      <c r="A223" t="s">
        <v>2714</v>
      </c>
      <c r="B223" t="s">
        <v>5883</v>
      </c>
    </row>
    <row r="224" spans="1:2" x14ac:dyDescent="0.2">
      <c r="A224" t="s">
        <v>5884</v>
      </c>
      <c r="B224" t="s">
        <v>5883</v>
      </c>
    </row>
    <row r="225" spans="1:2" x14ac:dyDescent="0.2">
      <c r="A225" t="s">
        <v>2717</v>
      </c>
      <c r="B225" t="s">
        <v>5885</v>
      </c>
    </row>
    <row r="226" spans="1:2" x14ac:dyDescent="0.2">
      <c r="A226" t="s">
        <v>5886</v>
      </c>
      <c r="B226" t="s">
        <v>5885</v>
      </c>
    </row>
    <row r="227" spans="1:2" x14ac:dyDescent="0.2">
      <c r="A227" t="s">
        <v>2719</v>
      </c>
      <c r="B227" t="s">
        <v>5887</v>
      </c>
    </row>
    <row r="228" spans="1:2" x14ac:dyDescent="0.2">
      <c r="A228" t="s">
        <v>2721</v>
      </c>
      <c r="B228" t="s">
        <v>5887</v>
      </c>
    </row>
    <row r="229" spans="1:2" x14ac:dyDescent="0.2">
      <c r="A229" t="s">
        <v>2723</v>
      </c>
      <c r="B229" t="s">
        <v>5887</v>
      </c>
    </row>
    <row r="230" spans="1:2" x14ac:dyDescent="0.2">
      <c r="A230" t="s">
        <v>5888</v>
      </c>
      <c r="B230" t="s">
        <v>5887</v>
      </c>
    </row>
    <row r="231" spans="1:2" x14ac:dyDescent="0.2">
      <c r="A231" t="s">
        <v>2724</v>
      </c>
      <c r="B231" t="s">
        <v>5889</v>
      </c>
    </row>
    <row r="232" spans="1:2" x14ac:dyDescent="0.2">
      <c r="A232" t="s">
        <v>2726</v>
      </c>
      <c r="B232" t="s">
        <v>5890</v>
      </c>
    </row>
    <row r="233" spans="1:2" x14ac:dyDescent="0.2">
      <c r="A233" t="s">
        <v>2729</v>
      </c>
      <c r="B233" t="s">
        <v>5890</v>
      </c>
    </row>
    <row r="234" spans="1:2" x14ac:dyDescent="0.2">
      <c r="A234" t="s">
        <v>5891</v>
      </c>
      <c r="B234" t="s">
        <v>5890</v>
      </c>
    </row>
    <row r="235" spans="1:2" x14ac:dyDescent="0.2">
      <c r="A235" t="s">
        <v>2730</v>
      </c>
      <c r="B235" t="s">
        <v>5892</v>
      </c>
    </row>
    <row r="236" spans="1:2" x14ac:dyDescent="0.2">
      <c r="A236" t="s">
        <v>2733</v>
      </c>
      <c r="B236" t="s">
        <v>5892</v>
      </c>
    </row>
    <row r="237" spans="1:2" x14ac:dyDescent="0.2">
      <c r="A237" t="s">
        <v>5893</v>
      </c>
      <c r="B237" t="s">
        <v>5892</v>
      </c>
    </row>
    <row r="238" spans="1:2" x14ac:dyDescent="0.2">
      <c r="A238" t="s">
        <v>2734</v>
      </c>
      <c r="B238" t="s">
        <v>5894</v>
      </c>
    </row>
    <row r="239" spans="1:2" x14ac:dyDescent="0.2">
      <c r="A239" t="s">
        <v>2737</v>
      </c>
      <c r="B239" t="s">
        <v>5894</v>
      </c>
    </row>
    <row r="240" spans="1:2" x14ac:dyDescent="0.2">
      <c r="A240" t="s">
        <v>5895</v>
      </c>
      <c r="B240" t="s">
        <v>5894</v>
      </c>
    </row>
    <row r="241" spans="1:2" x14ac:dyDescent="0.2">
      <c r="A241" t="s">
        <v>2738</v>
      </c>
      <c r="B241" t="s">
        <v>5896</v>
      </c>
    </row>
    <row r="242" spans="1:2" x14ac:dyDescent="0.2">
      <c r="A242" t="s">
        <v>2741</v>
      </c>
      <c r="B242" t="s">
        <v>5897</v>
      </c>
    </row>
    <row r="243" spans="1:2" x14ac:dyDescent="0.2">
      <c r="A243" t="s">
        <v>5898</v>
      </c>
      <c r="B243" t="s">
        <v>5897</v>
      </c>
    </row>
    <row r="244" spans="1:2" x14ac:dyDescent="0.2">
      <c r="A244" t="s">
        <v>2744</v>
      </c>
      <c r="B244" t="s">
        <v>5899</v>
      </c>
    </row>
    <row r="245" spans="1:2" x14ac:dyDescent="0.2">
      <c r="A245" t="s">
        <v>5900</v>
      </c>
      <c r="B245" t="s">
        <v>5899</v>
      </c>
    </row>
    <row r="246" spans="1:2" x14ac:dyDescent="0.2">
      <c r="A246" t="s">
        <v>2747</v>
      </c>
      <c r="B246" t="s">
        <v>5901</v>
      </c>
    </row>
    <row r="247" spans="1:2" x14ac:dyDescent="0.2">
      <c r="A247" t="s">
        <v>5902</v>
      </c>
      <c r="B247" t="s">
        <v>5901</v>
      </c>
    </row>
    <row r="248" spans="1:2" x14ac:dyDescent="0.2">
      <c r="A248" t="s">
        <v>2750</v>
      </c>
      <c r="B248" t="s">
        <v>5903</v>
      </c>
    </row>
    <row r="249" spans="1:2" x14ac:dyDescent="0.2">
      <c r="A249" t="s">
        <v>5904</v>
      </c>
      <c r="B249" t="s">
        <v>5903</v>
      </c>
    </row>
    <row r="250" spans="1:2" x14ac:dyDescent="0.2">
      <c r="A250" t="s">
        <v>2753</v>
      </c>
      <c r="B250" t="s">
        <v>5905</v>
      </c>
    </row>
    <row r="251" spans="1:2" x14ac:dyDescent="0.2">
      <c r="A251" t="s">
        <v>5906</v>
      </c>
      <c r="B251" t="s">
        <v>5905</v>
      </c>
    </row>
    <row r="252" spans="1:2" x14ac:dyDescent="0.2">
      <c r="A252" t="s">
        <v>2756</v>
      </c>
      <c r="B252" t="s">
        <v>5907</v>
      </c>
    </row>
    <row r="253" spans="1:2" x14ac:dyDescent="0.2">
      <c r="A253" t="s">
        <v>5908</v>
      </c>
      <c r="B253" t="s">
        <v>5907</v>
      </c>
    </row>
    <row r="254" spans="1:2" x14ac:dyDescent="0.2">
      <c r="A254" t="s">
        <v>2759</v>
      </c>
      <c r="B254" t="s">
        <v>5909</v>
      </c>
    </row>
    <row r="255" spans="1:2" x14ac:dyDescent="0.2">
      <c r="A255" t="s">
        <v>5910</v>
      </c>
      <c r="B255" t="s">
        <v>5909</v>
      </c>
    </row>
    <row r="256" spans="1:2" x14ac:dyDescent="0.2">
      <c r="A256" t="s">
        <v>2761</v>
      </c>
      <c r="B256" t="s">
        <v>5911</v>
      </c>
    </row>
    <row r="257" spans="1:2" x14ac:dyDescent="0.2">
      <c r="A257" t="s">
        <v>2763</v>
      </c>
      <c r="B257" t="s">
        <v>5912</v>
      </c>
    </row>
    <row r="258" spans="1:2" x14ac:dyDescent="0.2">
      <c r="A258" t="s">
        <v>2766</v>
      </c>
      <c r="B258" t="s">
        <v>5913</v>
      </c>
    </row>
    <row r="259" spans="1:2" x14ac:dyDescent="0.2">
      <c r="A259" t="s">
        <v>5914</v>
      </c>
      <c r="B259" t="s">
        <v>5913</v>
      </c>
    </row>
    <row r="260" spans="1:2" x14ac:dyDescent="0.2">
      <c r="A260" t="s">
        <v>2769</v>
      </c>
      <c r="B260" t="s">
        <v>5915</v>
      </c>
    </row>
    <row r="261" spans="1:2" x14ac:dyDescent="0.2">
      <c r="A261" t="s">
        <v>5916</v>
      </c>
      <c r="B261" t="s">
        <v>5915</v>
      </c>
    </row>
    <row r="262" spans="1:2" x14ac:dyDescent="0.2">
      <c r="A262" t="s">
        <v>2772</v>
      </c>
      <c r="B262" t="s">
        <v>5917</v>
      </c>
    </row>
    <row r="263" spans="1:2" x14ac:dyDescent="0.2">
      <c r="A263" t="s">
        <v>5918</v>
      </c>
      <c r="B263" t="s">
        <v>5919</v>
      </c>
    </row>
    <row r="264" spans="1:2" x14ac:dyDescent="0.2">
      <c r="A264" t="s">
        <v>5920</v>
      </c>
      <c r="B264" t="s">
        <v>5921</v>
      </c>
    </row>
    <row r="265" spans="1:2" x14ac:dyDescent="0.2">
      <c r="A265" t="s">
        <v>5922</v>
      </c>
      <c r="B265" t="s">
        <v>5923</v>
      </c>
    </row>
    <row r="266" spans="1:2" x14ac:dyDescent="0.2">
      <c r="A266" t="s">
        <v>2775</v>
      </c>
      <c r="B266" t="s">
        <v>5924</v>
      </c>
    </row>
    <row r="267" spans="1:2" x14ac:dyDescent="0.2">
      <c r="A267" t="s">
        <v>5925</v>
      </c>
      <c r="B267" t="s">
        <v>5926</v>
      </c>
    </row>
    <row r="268" spans="1:2" x14ac:dyDescent="0.2">
      <c r="A268" t="s">
        <v>5927</v>
      </c>
      <c r="B268" t="s">
        <v>5928</v>
      </c>
    </row>
    <row r="269" spans="1:2" x14ac:dyDescent="0.2">
      <c r="A269" t="s">
        <v>5929</v>
      </c>
      <c r="B269" t="s">
        <v>5930</v>
      </c>
    </row>
    <row r="270" spans="1:2" x14ac:dyDescent="0.2">
      <c r="A270" t="s">
        <v>2778</v>
      </c>
      <c r="B270" t="s">
        <v>5931</v>
      </c>
    </row>
    <row r="271" spans="1:2" x14ac:dyDescent="0.2">
      <c r="A271" t="s">
        <v>5932</v>
      </c>
      <c r="B271" t="s">
        <v>5931</v>
      </c>
    </row>
    <row r="272" spans="1:2" x14ac:dyDescent="0.2">
      <c r="A272" t="s">
        <v>2780</v>
      </c>
      <c r="B272" t="s">
        <v>5933</v>
      </c>
    </row>
    <row r="273" spans="1:2" x14ac:dyDescent="0.2">
      <c r="A273" t="s">
        <v>2783</v>
      </c>
      <c r="B273" t="s">
        <v>5933</v>
      </c>
    </row>
    <row r="274" spans="1:2" x14ac:dyDescent="0.2">
      <c r="A274" t="s">
        <v>5934</v>
      </c>
      <c r="B274" t="s">
        <v>5933</v>
      </c>
    </row>
    <row r="275" spans="1:2" x14ac:dyDescent="0.2">
      <c r="A275" t="s">
        <v>2784</v>
      </c>
      <c r="B275" t="s">
        <v>5935</v>
      </c>
    </row>
    <row r="276" spans="1:2" x14ac:dyDescent="0.2">
      <c r="A276" t="s">
        <v>2787</v>
      </c>
      <c r="B276" t="s">
        <v>5936</v>
      </c>
    </row>
    <row r="277" spans="1:2" x14ac:dyDescent="0.2">
      <c r="A277" t="s">
        <v>5937</v>
      </c>
      <c r="B277" t="s">
        <v>5936</v>
      </c>
    </row>
    <row r="278" spans="1:2" x14ac:dyDescent="0.2">
      <c r="A278" t="s">
        <v>2790</v>
      </c>
      <c r="B278" t="s">
        <v>5938</v>
      </c>
    </row>
    <row r="279" spans="1:2" x14ac:dyDescent="0.2">
      <c r="A279" t="s">
        <v>5939</v>
      </c>
      <c r="B279" t="s">
        <v>5938</v>
      </c>
    </row>
    <row r="280" spans="1:2" x14ac:dyDescent="0.2">
      <c r="A280" t="s">
        <v>2792</v>
      </c>
      <c r="B280" t="s">
        <v>5940</v>
      </c>
    </row>
    <row r="281" spans="1:2" x14ac:dyDescent="0.2">
      <c r="A281" t="s">
        <v>2794</v>
      </c>
      <c r="B281" t="s">
        <v>5941</v>
      </c>
    </row>
    <row r="282" spans="1:2" x14ac:dyDescent="0.2">
      <c r="A282" t="s">
        <v>2797</v>
      </c>
      <c r="B282" t="s">
        <v>5942</v>
      </c>
    </row>
    <row r="283" spans="1:2" x14ac:dyDescent="0.2">
      <c r="A283" t="s">
        <v>5943</v>
      </c>
      <c r="B283" t="s">
        <v>5942</v>
      </c>
    </row>
    <row r="284" spans="1:2" x14ac:dyDescent="0.2">
      <c r="A284" t="s">
        <v>2800</v>
      </c>
      <c r="B284" t="s">
        <v>5944</v>
      </c>
    </row>
    <row r="285" spans="1:2" x14ac:dyDescent="0.2">
      <c r="A285" t="s">
        <v>5945</v>
      </c>
      <c r="B285" t="s">
        <v>5944</v>
      </c>
    </row>
    <row r="286" spans="1:2" x14ac:dyDescent="0.2">
      <c r="A286" t="s">
        <v>2802</v>
      </c>
      <c r="B286" t="s">
        <v>5946</v>
      </c>
    </row>
    <row r="287" spans="1:2" x14ac:dyDescent="0.2">
      <c r="A287" t="s">
        <v>2805</v>
      </c>
      <c r="B287" t="s">
        <v>5946</v>
      </c>
    </row>
    <row r="288" spans="1:2" x14ac:dyDescent="0.2">
      <c r="A288" t="s">
        <v>5947</v>
      </c>
      <c r="B288" t="s">
        <v>5946</v>
      </c>
    </row>
    <row r="289" spans="1:2" x14ac:dyDescent="0.2">
      <c r="A289" t="s">
        <v>2806</v>
      </c>
      <c r="B289" t="s">
        <v>5948</v>
      </c>
    </row>
    <row r="290" spans="1:2" x14ac:dyDescent="0.2">
      <c r="A290" t="s">
        <v>2808</v>
      </c>
      <c r="B290" t="s">
        <v>5949</v>
      </c>
    </row>
    <row r="291" spans="1:2" x14ac:dyDescent="0.2">
      <c r="A291" t="s">
        <v>2811</v>
      </c>
      <c r="B291" t="s">
        <v>5949</v>
      </c>
    </row>
    <row r="292" spans="1:2" x14ac:dyDescent="0.2">
      <c r="A292" t="s">
        <v>5950</v>
      </c>
      <c r="B292" t="s">
        <v>5949</v>
      </c>
    </row>
    <row r="293" spans="1:2" x14ac:dyDescent="0.2">
      <c r="A293" t="s">
        <v>2812</v>
      </c>
      <c r="B293" t="s">
        <v>5951</v>
      </c>
    </row>
    <row r="294" spans="1:2" x14ac:dyDescent="0.2">
      <c r="A294" t="s">
        <v>2815</v>
      </c>
      <c r="B294" t="s">
        <v>5952</v>
      </c>
    </row>
    <row r="295" spans="1:2" x14ac:dyDescent="0.2">
      <c r="A295" t="s">
        <v>5953</v>
      </c>
      <c r="B295" t="s">
        <v>5952</v>
      </c>
    </row>
    <row r="296" spans="1:2" x14ac:dyDescent="0.2">
      <c r="A296" t="s">
        <v>2818</v>
      </c>
      <c r="B296" t="s">
        <v>5954</v>
      </c>
    </row>
    <row r="297" spans="1:2" x14ac:dyDescent="0.2">
      <c r="A297" t="s">
        <v>5955</v>
      </c>
      <c r="B297" t="s">
        <v>5954</v>
      </c>
    </row>
    <row r="298" spans="1:2" x14ac:dyDescent="0.2">
      <c r="A298" t="s">
        <v>2821</v>
      </c>
      <c r="B298" t="s">
        <v>5956</v>
      </c>
    </row>
    <row r="299" spans="1:2" x14ac:dyDescent="0.2">
      <c r="A299" t="s">
        <v>5957</v>
      </c>
      <c r="B299" t="s">
        <v>5956</v>
      </c>
    </row>
    <row r="300" spans="1:2" x14ac:dyDescent="0.2">
      <c r="A300" t="s">
        <v>2824</v>
      </c>
      <c r="B300" t="s">
        <v>5958</v>
      </c>
    </row>
    <row r="301" spans="1:2" x14ac:dyDescent="0.2">
      <c r="A301" t="s">
        <v>5959</v>
      </c>
      <c r="B301" t="s">
        <v>5958</v>
      </c>
    </row>
    <row r="302" spans="1:2" x14ac:dyDescent="0.2">
      <c r="A302" t="s">
        <v>2827</v>
      </c>
      <c r="B302" t="s">
        <v>5960</v>
      </c>
    </row>
    <row r="303" spans="1:2" x14ac:dyDescent="0.2">
      <c r="A303" t="s">
        <v>5961</v>
      </c>
      <c r="B303" t="s">
        <v>5962</v>
      </c>
    </row>
    <row r="304" spans="1:2" x14ac:dyDescent="0.2">
      <c r="A304" t="s">
        <v>2829</v>
      </c>
      <c r="B304" t="s">
        <v>5963</v>
      </c>
    </row>
    <row r="305" spans="1:2" x14ac:dyDescent="0.2">
      <c r="A305" t="s">
        <v>2831</v>
      </c>
      <c r="B305" t="s">
        <v>5964</v>
      </c>
    </row>
    <row r="306" spans="1:2" x14ac:dyDescent="0.2">
      <c r="A306" t="s">
        <v>2834</v>
      </c>
      <c r="B306" t="s">
        <v>5965</v>
      </c>
    </row>
    <row r="307" spans="1:2" x14ac:dyDescent="0.2">
      <c r="A307" t="s">
        <v>5966</v>
      </c>
      <c r="B307" t="s">
        <v>5965</v>
      </c>
    </row>
    <row r="308" spans="1:2" x14ac:dyDescent="0.2">
      <c r="A308" t="s">
        <v>2837</v>
      </c>
      <c r="B308" t="s">
        <v>5967</v>
      </c>
    </row>
    <row r="309" spans="1:2" x14ac:dyDescent="0.2">
      <c r="A309" t="s">
        <v>5968</v>
      </c>
      <c r="B309" t="s">
        <v>5967</v>
      </c>
    </row>
    <row r="310" spans="1:2" x14ac:dyDescent="0.2">
      <c r="A310" t="s">
        <v>2839</v>
      </c>
      <c r="B310" t="s">
        <v>5969</v>
      </c>
    </row>
    <row r="311" spans="1:2" x14ac:dyDescent="0.2">
      <c r="A311" t="s">
        <v>2842</v>
      </c>
      <c r="B311" t="s">
        <v>5970</v>
      </c>
    </row>
    <row r="312" spans="1:2" x14ac:dyDescent="0.2">
      <c r="A312" t="s">
        <v>5971</v>
      </c>
      <c r="B312" t="s">
        <v>5970</v>
      </c>
    </row>
    <row r="313" spans="1:2" x14ac:dyDescent="0.2">
      <c r="A313" t="s">
        <v>2845</v>
      </c>
      <c r="B313" t="s">
        <v>5972</v>
      </c>
    </row>
    <row r="314" spans="1:2" x14ac:dyDescent="0.2">
      <c r="A314" t="s">
        <v>5973</v>
      </c>
      <c r="B314" t="s">
        <v>5972</v>
      </c>
    </row>
    <row r="315" spans="1:2" x14ac:dyDescent="0.2">
      <c r="A315" t="s">
        <v>2848</v>
      </c>
      <c r="B315" t="s">
        <v>5974</v>
      </c>
    </row>
    <row r="316" spans="1:2" x14ac:dyDescent="0.2">
      <c r="A316" t="s">
        <v>5975</v>
      </c>
      <c r="B316" t="s">
        <v>5974</v>
      </c>
    </row>
    <row r="317" spans="1:2" x14ac:dyDescent="0.2">
      <c r="A317" t="s">
        <v>2851</v>
      </c>
      <c r="B317" t="s">
        <v>5976</v>
      </c>
    </row>
    <row r="318" spans="1:2" x14ac:dyDescent="0.2">
      <c r="A318" t="s">
        <v>5977</v>
      </c>
      <c r="B318" t="s">
        <v>5976</v>
      </c>
    </row>
    <row r="319" spans="1:2" x14ac:dyDescent="0.2">
      <c r="A319" t="s">
        <v>2854</v>
      </c>
      <c r="B319" t="s">
        <v>5978</v>
      </c>
    </row>
    <row r="320" spans="1:2" x14ac:dyDescent="0.2">
      <c r="A320" t="s">
        <v>5979</v>
      </c>
      <c r="B320" t="s">
        <v>5978</v>
      </c>
    </row>
    <row r="321" spans="1:2" x14ac:dyDescent="0.2">
      <c r="A321" t="s">
        <v>2856</v>
      </c>
      <c r="B321" t="s">
        <v>5980</v>
      </c>
    </row>
    <row r="322" spans="1:2" x14ac:dyDescent="0.2">
      <c r="A322" t="s">
        <v>2858</v>
      </c>
      <c r="B322" t="s">
        <v>5981</v>
      </c>
    </row>
    <row r="323" spans="1:2" x14ac:dyDescent="0.2">
      <c r="A323" t="s">
        <v>2861</v>
      </c>
      <c r="B323" t="s">
        <v>5982</v>
      </c>
    </row>
    <row r="324" spans="1:2" x14ac:dyDescent="0.2">
      <c r="A324" t="s">
        <v>5983</v>
      </c>
      <c r="B324" t="s">
        <v>5982</v>
      </c>
    </row>
    <row r="325" spans="1:2" x14ac:dyDescent="0.2">
      <c r="A325" t="s">
        <v>2864</v>
      </c>
      <c r="B325" t="s">
        <v>5984</v>
      </c>
    </row>
    <row r="326" spans="1:2" x14ac:dyDescent="0.2">
      <c r="A326" t="s">
        <v>5985</v>
      </c>
      <c r="B326" t="s">
        <v>5984</v>
      </c>
    </row>
    <row r="327" spans="1:2" x14ac:dyDescent="0.2">
      <c r="A327" t="s">
        <v>2867</v>
      </c>
      <c r="B327" t="s">
        <v>5986</v>
      </c>
    </row>
    <row r="328" spans="1:2" x14ac:dyDescent="0.2">
      <c r="A328" t="s">
        <v>5987</v>
      </c>
      <c r="B328" t="s">
        <v>5986</v>
      </c>
    </row>
    <row r="329" spans="1:2" x14ac:dyDescent="0.2">
      <c r="A329" t="s">
        <v>2870</v>
      </c>
      <c r="B329" t="s">
        <v>5988</v>
      </c>
    </row>
    <row r="330" spans="1:2" x14ac:dyDescent="0.2">
      <c r="A330" t="s">
        <v>5989</v>
      </c>
      <c r="B330" t="s">
        <v>5988</v>
      </c>
    </row>
    <row r="331" spans="1:2" x14ac:dyDescent="0.2">
      <c r="A331" t="s">
        <v>2872</v>
      </c>
      <c r="B331" t="s">
        <v>5990</v>
      </c>
    </row>
    <row r="332" spans="1:2" x14ac:dyDescent="0.2">
      <c r="A332" t="s">
        <v>2875</v>
      </c>
      <c r="B332" t="s">
        <v>5990</v>
      </c>
    </row>
    <row r="333" spans="1:2" x14ac:dyDescent="0.2">
      <c r="A333" t="s">
        <v>5991</v>
      </c>
      <c r="B333" t="s">
        <v>5990</v>
      </c>
    </row>
    <row r="334" spans="1:2" x14ac:dyDescent="0.2">
      <c r="A334" t="s">
        <v>2876</v>
      </c>
      <c r="B334" t="s">
        <v>5992</v>
      </c>
    </row>
    <row r="335" spans="1:2" x14ac:dyDescent="0.2">
      <c r="A335" t="s">
        <v>2878</v>
      </c>
      <c r="B335" t="s">
        <v>5993</v>
      </c>
    </row>
    <row r="336" spans="1:2" x14ac:dyDescent="0.2">
      <c r="A336" t="s">
        <v>2881</v>
      </c>
      <c r="B336" t="s">
        <v>5993</v>
      </c>
    </row>
    <row r="337" spans="1:2" x14ac:dyDescent="0.2">
      <c r="A337" t="s">
        <v>5994</v>
      </c>
      <c r="B337" t="s">
        <v>5993</v>
      </c>
    </row>
    <row r="338" spans="1:2" x14ac:dyDescent="0.2">
      <c r="A338" t="s">
        <v>2882</v>
      </c>
      <c r="B338" t="s">
        <v>5995</v>
      </c>
    </row>
    <row r="339" spans="1:2" x14ac:dyDescent="0.2">
      <c r="A339" t="s">
        <v>2885</v>
      </c>
      <c r="B339" t="s">
        <v>5995</v>
      </c>
    </row>
    <row r="340" spans="1:2" x14ac:dyDescent="0.2">
      <c r="A340" t="s">
        <v>5996</v>
      </c>
      <c r="B340" t="s">
        <v>5995</v>
      </c>
    </row>
    <row r="341" spans="1:2" x14ac:dyDescent="0.2">
      <c r="A341" t="s">
        <v>2886</v>
      </c>
      <c r="B341" t="s">
        <v>5997</v>
      </c>
    </row>
    <row r="342" spans="1:2" x14ac:dyDescent="0.2">
      <c r="A342" t="s">
        <v>2888</v>
      </c>
      <c r="B342" t="s">
        <v>5998</v>
      </c>
    </row>
    <row r="343" spans="1:2" x14ac:dyDescent="0.2">
      <c r="A343" t="s">
        <v>2891</v>
      </c>
      <c r="B343" t="s">
        <v>5999</v>
      </c>
    </row>
    <row r="344" spans="1:2" x14ac:dyDescent="0.2">
      <c r="A344" t="s">
        <v>6000</v>
      </c>
      <c r="B344" t="s">
        <v>5999</v>
      </c>
    </row>
    <row r="345" spans="1:2" x14ac:dyDescent="0.2">
      <c r="A345" t="s">
        <v>2894</v>
      </c>
      <c r="B345" t="s">
        <v>6001</v>
      </c>
    </row>
    <row r="346" spans="1:2" x14ac:dyDescent="0.2">
      <c r="A346" t="s">
        <v>6002</v>
      </c>
      <c r="B346" t="s">
        <v>6001</v>
      </c>
    </row>
    <row r="347" spans="1:2" x14ac:dyDescent="0.2">
      <c r="A347" t="s">
        <v>2897</v>
      </c>
      <c r="B347" t="s">
        <v>6003</v>
      </c>
    </row>
    <row r="348" spans="1:2" x14ac:dyDescent="0.2">
      <c r="A348" t="s">
        <v>6004</v>
      </c>
      <c r="B348" t="s">
        <v>6003</v>
      </c>
    </row>
    <row r="349" spans="1:2" x14ac:dyDescent="0.2">
      <c r="A349" t="s">
        <v>2900</v>
      </c>
      <c r="B349" t="s">
        <v>6005</v>
      </c>
    </row>
    <row r="350" spans="1:2" x14ac:dyDescent="0.2">
      <c r="A350" t="s">
        <v>6006</v>
      </c>
      <c r="B350" t="s">
        <v>6005</v>
      </c>
    </row>
    <row r="351" spans="1:2" x14ac:dyDescent="0.2">
      <c r="A351" t="s">
        <v>2903</v>
      </c>
      <c r="B351" t="s">
        <v>6007</v>
      </c>
    </row>
    <row r="352" spans="1:2" x14ac:dyDescent="0.2">
      <c r="A352" t="s">
        <v>6008</v>
      </c>
      <c r="B352" t="s">
        <v>6007</v>
      </c>
    </row>
    <row r="353" spans="1:2" x14ac:dyDescent="0.2">
      <c r="A353" t="s">
        <v>2906</v>
      </c>
      <c r="B353" t="s">
        <v>6009</v>
      </c>
    </row>
    <row r="354" spans="1:2" x14ac:dyDescent="0.2">
      <c r="A354" t="s">
        <v>6010</v>
      </c>
      <c r="B354" t="s">
        <v>6009</v>
      </c>
    </row>
    <row r="355" spans="1:2" x14ac:dyDescent="0.2">
      <c r="A355" t="s">
        <v>2909</v>
      </c>
      <c r="B355" t="s">
        <v>6011</v>
      </c>
    </row>
    <row r="356" spans="1:2" x14ac:dyDescent="0.2">
      <c r="A356" t="s">
        <v>6012</v>
      </c>
      <c r="B356" t="s">
        <v>6011</v>
      </c>
    </row>
    <row r="357" spans="1:2" x14ac:dyDescent="0.2">
      <c r="A357" t="s">
        <v>2911</v>
      </c>
      <c r="B357" t="s">
        <v>6013</v>
      </c>
    </row>
    <row r="358" spans="1:2" x14ac:dyDescent="0.2">
      <c r="A358" t="s">
        <v>2914</v>
      </c>
      <c r="B358" t="s">
        <v>6013</v>
      </c>
    </row>
    <row r="359" spans="1:2" x14ac:dyDescent="0.2">
      <c r="A359" t="s">
        <v>6014</v>
      </c>
      <c r="B359" t="s">
        <v>6013</v>
      </c>
    </row>
    <row r="360" spans="1:2" x14ac:dyDescent="0.2">
      <c r="A360" t="s">
        <v>2915</v>
      </c>
      <c r="B360" t="s">
        <v>6015</v>
      </c>
    </row>
    <row r="361" spans="1:2" x14ac:dyDescent="0.2">
      <c r="A361" t="s">
        <v>2918</v>
      </c>
      <c r="B361" t="s">
        <v>6015</v>
      </c>
    </row>
    <row r="362" spans="1:2" x14ac:dyDescent="0.2">
      <c r="A362" t="s">
        <v>6016</v>
      </c>
      <c r="B362" t="s">
        <v>6015</v>
      </c>
    </row>
    <row r="363" spans="1:2" x14ac:dyDescent="0.2">
      <c r="A363" t="s">
        <v>2919</v>
      </c>
      <c r="B363" t="s">
        <v>6017</v>
      </c>
    </row>
    <row r="364" spans="1:2" x14ac:dyDescent="0.2">
      <c r="A364" t="s">
        <v>2922</v>
      </c>
      <c r="B364" t="s">
        <v>6018</v>
      </c>
    </row>
    <row r="365" spans="1:2" x14ac:dyDescent="0.2">
      <c r="A365" t="s">
        <v>6019</v>
      </c>
      <c r="B365" t="s">
        <v>6018</v>
      </c>
    </row>
    <row r="366" spans="1:2" x14ac:dyDescent="0.2">
      <c r="A366" t="s">
        <v>2925</v>
      </c>
      <c r="B366" t="s">
        <v>6020</v>
      </c>
    </row>
    <row r="367" spans="1:2" x14ac:dyDescent="0.2">
      <c r="A367" t="s">
        <v>6021</v>
      </c>
      <c r="B367" t="s">
        <v>6020</v>
      </c>
    </row>
    <row r="368" spans="1:2" x14ac:dyDescent="0.2">
      <c r="A368" t="s">
        <v>2927</v>
      </c>
      <c r="B368" t="s">
        <v>6022</v>
      </c>
    </row>
    <row r="369" spans="1:2" x14ac:dyDescent="0.2">
      <c r="A369" t="s">
        <v>2930</v>
      </c>
      <c r="B369" t="s">
        <v>6023</v>
      </c>
    </row>
    <row r="370" spans="1:2" x14ac:dyDescent="0.2">
      <c r="A370" t="s">
        <v>6024</v>
      </c>
      <c r="B370" t="s">
        <v>6023</v>
      </c>
    </row>
    <row r="371" spans="1:2" x14ac:dyDescent="0.2">
      <c r="A371" t="s">
        <v>2933</v>
      </c>
      <c r="B371" t="s">
        <v>6025</v>
      </c>
    </row>
    <row r="372" spans="1:2" x14ac:dyDescent="0.2">
      <c r="A372" t="s">
        <v>6026</v>
      </c>
      <c r="B372" t="s">
        <v>6025</v>
      </c>
    </row>
    <row r="373" spans="1:2" x14ac:dyDescent="0.2">
      <c r="A373" t="s">
        <v>2936</v>
      </c>
      <c r="B373" t="s">
        <v>6027</v>
      </c>
    </row>
    <row r="374" spans="1:2" x14ac:dyDescent="0.2">
      <c r="A374" t="s">
        <v>6028</v>
      </c>
      <c r="B374" t="s">
        <v>6027</v>
      </c>
    </row>
    <row r="375" spans="1:2" x14ac:dyDescent="0.2">
      <c r="A375" t="s">
        <v>2939</v>
      </c>
      <c r="B375" t="s">
        <v>6029</v>
      </c>
    </row>
    <row r="376" spans="1:2" x14ac:dyDescent="0.2">
      <c r="A376" t="s">
        <v>6030</v>
      </c>
      <c r="B376" t="s">
        <v>6029</v>
      </c>
    </row>
    <row r="377" spans="1:2" x14ac:dyDescent="0.2">
      <c r="A377" t="s">
        <v>2941</v>
      </c>
      <c r="B377" t="s">
        <v>6031</v>
      </c>
    </row>
    <row r="378" spans="1:2" x14ac:dyDescent="0.2">
      <c r="A378" t="s">
        <v>2944</v>
      </c>
      <c r="B378" t="s">
        <v>6031</v>
      </c>
    </row>
    <row r="379" spans="1:2" x14ac:dyDescent="0.2">
      <c r="A379" t="s">
        <v>6032</v>
      </c>
      <c r="B379" t="s">
        <v>6031</v>
      </c>
    </row>
    <row r="380" spans="1:2" x14ac:dyDescent="0.2">
      <c r="A380" t="s">
        <v>2945</v>
      </c>
      <c r="B380" t="s">
        <v>6033</v>
      </c>
    </row>
    <row r="381" spans="1:2" x14ac:dyDescent="0.2">
      <c r="A381" t="s">
        <v>2947</v>
      </c>
      <c r="B381" t="s">
        <v>6034</v>
      </c>
    </row>
    <row r="382" spans="1:2" x14ac:dyDescent="0.2">
      <c r="A382" t="s">
        <v>2950</v>
      </c>
      <c r="B382" t="s">
        <v>6034</v>
      </c>
    </row>
    <row r="383" spans="1:2" x14ac:dyDescent="0.2">
      <c r="A383" t="s">
        <v>6035</v>
      </c>
      <c r="B383" t="s">
        <v>6034</v>
      </c>
    </row>
    <row r="384" spans="1:2" x14ac:dyDescent="0.2">
      <c r="A384" t="s">
        <v>2951</v>
      </c>
      <c r="B384" t="s">
        <v>6036</v>
      </c>
    </row>
    <row r="385" spans="1:2" x14ac:dyDescent="0.2">
      <c r="A385" t="s">
        <v>2954</v>
      </c>
      <c r="B385" t="s">
        <v>6036</v>
      </c>
    </row>
    <row r="386" spans="1:2" x14ac:dyDescent="0.2">
      <c r="A386" t="s">
        <v>6037</v>
      </c>
      <c r="B386" t="s">
        <v>6036</v>
      </c>
    </row>
    <row r="387" spans="1:2" x14ac:dyDescent="0.2">
      <c r="A387" t="s">
        <v>2955</v>
      </c>
      <c r="B387" t="s">
        <v>6038</v>
      </c>
    </row>
    <row r="388" spans="1:2" x14ac:dyDescent="0.2">
      <c r="A388" t="s">
        <v>2957</v>
      </c>
      <c r="B388" t="s">
        <v>6039</v>
      </c>
    </row>
    <row r="389" spans="1:2" x14ac:dyDescent="0.2">
      <c r="A389" t="s">
        <v>2960</v>
      </c>
      <c r="B389" t="s">
        <v>6040</v>
      </c>
    </row>
    <row r="390" spans="1:2" x14ac:dyDescent="0.2">
      <c r="A390" t="s">
        <v>6041</v>
      </c>
      <c r="B390" t="s">
        <v>6040</v>
      </c>
    </row>
    <row r="391" spans="1:2" x14ac:dyDescent="0.2">
      <c r="A391" t="s">
        <v>2963</v>
      </c>
      <c r="B391" t="s">
        <v>6042</v>
      </c>
    </row>
    <row r="392" spans="1:2" x14ac:dyDescent="0.2">
      <c r="A392" t="s">
        <v>6043</v>
      </c>
      <c r="B392" t="s">
        <v>6042</v>
      </c>
    </row>
    <row r="393" spans="1:2" x14ac:dyDescent="0.2">
      <c r="A393" t="s">
        <v>2965</v>
      </c>
      <c r="B393" t="s">
        <v>6044</v>
      </c>
    </row>
    <row r="394" spans="1:2" x14ac:dyDescent="0.2">
      <c r="A394" t="s">
        <v>2968</v>
      </c>
      <c r="B394" t="s">
        <v>6045</v>
      </c>
    </row>
    <row r="395" spans="1:2" x14ac:dyDescent="0.2">
      <c r="A395" t="s">
        <v>6046</v>
      </c>
      <c r="B395" t="s">
        <v>6045</v>
      </c>
    </row>
    <row r="396" spans="1:2" x14ac:dyDescent="0.2">
      <c r="A396" t="s">
        <v>2971</v>
      </c>
      <c r="B396" t="s">
        <v>6047</v>
      </c>
    </row>
    <row r="397" spans="1:2" x14ac:dyDescent="0.2">
      <c r="A397" t="s">
        <v>6048</v>
      </c>
      <c r="B397" t="s">
        <v>6047</v>
      </c>
    </row>
    <row r="398" spans="1:2" x14ac:dyDescent="0.2">
      <c r="A398" t="s">
        <v>2974</v>
      </c>
      <c r="B398" t="s">
        <v>6049</v>
      </c>
    </row>
    <row r="399" spans="1:2" x14ac:dyDescent="0.2">
      <c r="A399" t="s">
        <v>6050</v>
      </c>
      <c r="B399" t="s">
        <v>6049</v>
      </c>
    </row>
    <row r="400" spans="1:2" x14ac:dyDescent="0.2">
      <c r="A400" t="s">
        <v>2977</v>
      </c>
      <c r="B400" t="s">
        <v>6051</v>
      </c>
    </row>
    <row r="401" spans="1:2" x14ac:dyDescent="0.2">
      <c r="A401" t="s">
        <v>6052</v>
      </c>
      <c r="B401" t="s">
        <v>6051</v>
      </c>
    </row>
    <row r="402" spans="1:2" x14ac:dyDescent="0.2">
      <c r="A402" t="s">
        <v>2979</v>
      </c>
      <c r="B402" t="s">
        <v>6053</v>
      </c>
    </row>
    <row r="403" spans="1:2" x14ac:dyDescent="0.2">
      <c r="A403" t="s">
        <v>2981</v>
      </c>
      <c r="B403" t="s">
        <v>6054</v>
      </c>
    </row>
    <row r="404" spans="1:2" x14ac:dyDescent="0.2">
      <c r="A404" t="s">
        <v>2984</v>
      </c>
      <c r="B404" t="s">
        <v>6055</v>
      </c>
    </row>
    <row r="405" spans="1:2" x14ac:dyDescent="0.2">
      <c r="A405" t="s">
        <v>6056</v>
      </c>
      <c r="B405" t="s">
        <v>6055</v>
      </c>
    </row>
    <row r="406" spans="1:2" x14ac:dyDescent="0.2">
      <c r="A406" t="s">
        <v>2987</v>
      </c>
      <c r="B406" t="s">
        <v>6057</v>
      </c>
    </row>
    <row r="407" spans="1:2" x14ac:dyDescent="0.2">
      <c r="A407" t="s">
        <v>6058</v>
      </c>
      <c r="B407" t="s">
        <v>6057</v>
      </c>
    </row>
    <row r="408" spans="1:2" x14ac:dyDescent="0.2">
      <c r="A408" t="s">
        <v>2990</v>
      </c>
      <c r="B408" t="s">
        <v>6059</v>
      </c>
    </row>
    <row r="409" spans="1:2" x14ac:dyDescent="0.2">
      <c r="A409" t="s">
        <v>6060</v>
      </c>
      <c r="B409" t="s">
        <v>6059</v>
      </c>
    </row>
    <row r="410" spans="1:2" x14ac:dyDescent="0.2">
      <c r="A410" t="s">
        <v>2993</v>
      </c>
      <c r="B410" t="s">
        <v>6061</v>
      </c>
    </row>
    <row r="411" spans="1:2" x14ac:dyDescent="0.2">
      <c r="A411" t="s">
        <v>6062</v>
      </c>
      <c r="B411" t="s">
        <v>6061</v>
      </c>
    </row>
    <row r="412" spans="1:2" x14ac:dyDescent="0.2">
      <c r="A412" t="s">
        <v>2996</v>
      </c>
      <c r="B412" t="s">
        <v>6063</v>
      </c>
    </row>
    <row r="413" spans="1:2" x14ac:dyDescent="0.2">
      <c r="A413" t="s">
        <v>6064</v>
      </c>
      <c r="B413" t="s">
        <v>6063</v>
      </c>
    </row>
    <row r="414" spans="1:2" x14ac:dyDescent="0.2">
      <c r="A414" t="s">
        <v>2998</v>
      </c>
      <c r="B414" t="s">
        <v>6065</v>
      </c>
    </row>
    <row r="415" spans="1:2" x14ac:dyDescent="0.2">
      <c r="A415" t="s">
        <v>3001</v>
      </c>
      <c r="B415" t="s">
        <v>6065</v>
      </c>
    </row>
    <row r="416" spans="1:2" x14ac:dyDescent="0.2">
      <c r="A416" t="s">
        <v>6066</v>
      </c>
      <c r="B416" t="s">
        <v>6065</v>
      </c>
    </row>
    <row r="417" spans="1:2" x14ac:dyDescent="0.2">
      <c r="A417" t="s">
        <v>3002</v>
      </c>
      <c r="B417" t="s">
        <v>6067</v>
      </c>
    </row>
    <row r="418" spans="1:2" x14ac:dyDescent="0.2">
      <c r="A418" t="s">
        <v>3005</v>
      </c>
      <c r="B418" t="s">
        <v>6068</v>
      </c>
    </row>
    <row r="419" spans="1:2" x14ac:dyDescent="0.2">
      <c r="A419" t="s">
        <v>6069</v>
      </c>
      <c r="B419" t="s">
        <v>6068</v>
      </c>
    </row>
    <row r="420" spans="1:2" x14ac:dyDescent="0.2">
      <c r="A420" t="s">
        <v>3008</v>
      </c>
      <c r="B420" t="s">
        <v>6070</v>
      </c>
    </row>
    <row r="421" spans="1:2" x14ac:dyDescent="0.2">
      <c r="A421" t="s">
        <v>6071</v>
      </c>
      <c r="B421" t="s">
        <v>6070</v>
      </c>
    </row>
    <row r="422" spans="1:2" x14ac:dyDescent="0.2">
      <c r="A422" t="s">
        <v>3010</v>
      </c>
      <c r="B422" t="s">
        <v>6072</v>
      </c>
    </row>
    <row r="423" spans="1:2" x14ac:dyDescent="0.2">
      <c r="A423" t="s">
        <v>3013</v>
      </c>
      <c r="B423" t="s">
        <v>6073</v>
      </c>
    </row>
    <row r="424" spans="1:2" x14ac:dyDescent="0.2">
      <c r="A424" t="s">
        <v>6074</v>
      </c>
      <c r="B424" t="s">
        <v>6073</v>
      </c>
    </row>
    <row r="425" spans="1:2" x14ac:dyDescent="0.2">
      <c r="A425" t="s">
        <v>3016</v>
      </c>
      <c r="B425" t="s">
        <v>6075</v>
      </c>
    </row>
    <row r="426" spans="1:2" x14ac:dyDescent="0.2">
      <c r="A426" t="s">
        <v>6076</v>
      </c>
      <c r="B426" t="s">
        <v>6075</v>
      </c>
    </row>
    <row r="427" spans="1:2" x14ac:dyDescent="0.2">
      <c r="A427" t="s">
        <v>3019</v>
      </c>
      <c r="B427" t="s">
        <v>6077</v>
      </c>
    </row>
    <row r="428" spans="1:2" x14ac:dyDescent="0.2">
      <c r="A428" t="s">
        <v>6078</v>
      </c>
      <c r="B428" t="s">
        <v>6077</v>
      </c>
    </row>
    <row r="429" spans="1:2" x14ac:dyDescent="0.2">
      <c r="A429" t="s">
        <v>3022</v>
      </c>
      <c r="B429" t="s">
        <v>6079</v>
      </c>
    </row>
    <row r="430" spans="1:2" x14ac:dyDescent="0.2">
      <c r="A430" t="s">
        <v>6080</v>
      </c>
      <c r="B430" t="s">
        <v>6079</v>
      </c>
    </row>
    <row r="431" spans="1:2" x14ac:dyDescent="0.2">
      <c r="A431" t="s">
        <v>3025</v>
      </c>
      <c r="B431" t="s">
        <v>6081</v>
      </c>
    </row>
    <row r="432" spans="1:2" x14ac:dyDescent="0.2">
      <c r="A432" t="s">
        <v>6082</v>
      </c>
      <c r="B432" t="s">
        <v>6081</v>
      </c>
    </row>
    <row r="433" spans="1:2" x14ac:dyDescent="0.2">
      <c r="A433" t="s">
        <v>3027</v>
      </c>
      <c r="B433" t="s">
        <v>6083</v>
      </c>
    </row>
    <row r="434" spans="1:2" x14ac:dyDescent="0.2">
      <c r="A434" t="s">
        <v>3030</v>
      </c>
      <c r="B434" t="s">
        <v>6084</v>
      </c>
    </row>
    <row r="435" spans="1:2" x14ac:dyDescent="0.2">
      <c r="A435" t="s">
        <v>6085</v>
      </c>
      <c r="B435" t="s">
        <v>6084</v>
      </c>
    </row>
    <row r="436" spans="1:2" x14ac:dyDescent="0.2">
      <c r="A436" t="s">
        <v>3033</v>
      </c>
      <c r="B436" t="s">
        <v>6086</v>
      </c>
    </row>
    <row r="437" spans="1:2" x14ac:dyDescent="0.2">
      <c r="A437" t="s">
        <v>6087</v>
      </c>
      <c r="B437" t="s">
        <v>6086</v>
      </c>
    </row>
    <row r="438" spans="1:2" x14ac:dyDescent="0.2">
      <c r="A438" t="s">
        <v>3035</v>
      </c>
      <c r="B438" t="s">
        <v>6088</v>
      </c>
    </row>
    <row r="439" spans="1:2" x14ac:dyDescent="0.2">
      <c r="A439" t="s">
        <v>3038</v>
      </c>
      <c r="B439" t="s">
        <v>6089</v>
      </c>
    </row>
    <row r="440" spans="1:2" x14ac:dyDescent="0.2">
      <c r="A440" t="s">
        <v>6090</v>
      </c>
      <c r="B440" t="s">
        <v>6089</v>
      </c>
    </row>
    <row r="441" spans="1:2" x14ac:dyDescent="0.2">
      <c r="A441" t="s">
        <v>3041</v>
      </c>
      <c r="B441" t="s">
        <v>6091</v>
      </c>
    </row>
    <row r="442" spans="1:2" x14ac:dyDescent="0.2">
      <c r="A442" t="s">
        <v>6092</v>
      </c>
      <c r="B442" t="s">
        <v>6091</v>
      </c>
    </row>
    <row r="443" spans="1:2" x14ac:dyDescent="0.2">
      <c r="A443" t="s">
        <v>3044</v>
      </c>
      <c r="B443" t="s">
        <v>6093</v>
      </c>
    </row>
    <row r="444" spans="1:2" x14ac:dyDescent="0.2">
      <c r="A444" t="s">
        <v>6094</v>
      </c>
      <c r="B444" t="s">
        <v>6093</v>
      </c>
    </row>
    <row r="445" spans="1:2" x14ac:dyDescent="0.2">
      <c r="A445" t="s">
        <v>3047</v>
      </c>
      <c r="B445" t="s">
        <v>6095</v>
      </c>
    </row>
    <row r="446" spans="1:2" x14ac:dyDescent="0.2">
      <c r="A446" t="s">
        <v>6096</v>
      </c>
      <c r="B446" t="s">
        <v>6095</v>
      </c>
    </row>
    <row r="447" spans="1:2" x14ac:dyDescent="0.2">
      <c r="A447" t="s">
        <v>3050</v>
      </c>
      <c r="B447" t="s">
        <v>6097</v>
      </c>
    </row>
    <row r="448" spans="1:2" x14ac:dyDescent="0.2">
      <c r="A448" t="s">
        <v>6098</v>
      </c>
      <c r="B448" t="s">
        <v>6097</v>
      </c>
    </row>
    <row r="449" spans="1:2" x14ac:dyDescent="0.2">
      <c r="A449" t="s">
        <v>3053</v>
      </c>
      <c r="B449" t="s">
        <v>6099</v>
      </c>
    </row>
    <row r="450" spans="1:2" x14ac:dyDescent="0.2">
      <c r="A450" t="s">
        <v>6100</v>
      </c>
      <c r="B450" t="s">
        <v>6099</v>
      </c>
    </row>
    <row r="451" spans="1:2" x14ac:dyDescent="0.2">
      <c r="A451" t="s">
        <v>3055</v>
      </c>
      <c r="B451" t="s">
        <v>6101</v>
      </c>
    </row>
    <row r="452" spans="1:2" x14ac:dyDescent="0.2">
      <c r="A452" t="s">
        <v>3058</v>
      </c>
      <c r="B452" t="s">
        <v>6101</v>
      </c>
    </row>
    <row r="453" spans="1:2" x14ac:dyDescent="0.2">
      <c r="A453" t="s">
        <v>6102</v>
      </c>
      <c r="B453" t="s">
        <v>6101</v>
      </c>
    </row>
    <row r="454" spans="1:2" x14ac:dyDescent="0.2">
      <c r="A454" t="s">
        <v>3059</v>
      </c>
      <c r="B454" t="s">
        <v>6103</v>
      </c>
    </row>
    <row r="455" spans="1:2" x14ac:dyDescent="0.2">
      <c r="A455" t="s">
        <v>3062</v>
      </c>
      <c r="B455" t="s">
        <v>6104</v>
      </c>
    </row>
    <row r="456" spans="1:2" x14ac:dyDescent="0.2">
      <c r="A456" t="s">
        <v>6105</v>
      </c>
      <c r="B456" t="s">
        <v>6104</v>
      </c>
    </row>
    <row r="457" spans="1:2" x14ac:dyDescent="0.2">
      <c r="A457" t="s">
        <v>3065</v>
      </c>
      <c r="B457" t="s">
        <v>6106</v>
      </c>
    </row>
    <row r="458" spans="1:2" x14ac:dyDescent="0.2">
      <c r="A458" t="s">
        <v>6107</v>
      </c>
      <c r="B458" t="s">
        <v>6106</v>
      </c>
    </row>
    <row r="459" spans="1:2" x14ac:dyDescent="0.2">
      <c r="A459" t="s">
        <v>3067</v>
      </c>
      <c r="B459" t="s">
        <v>6108</v>
      </c>
    </row>
    <row r="460" spans="1:2" x14ac:dyDescent="0.2">
      <c r="A460" t="s">
        <v>3069</v>
      </c>
      <c r="B460" t="s">
        <v>6109</v>
      </c>
    </row>
    <row r="461" spans="1:2" x14ac:dyDescent="0.2">
      <c r="A461" t="s">
        <v>3072</v>
      </c>
      <c r="B461" t="s">
        <v>6109</v>
      </c>
    </row>
    <row r="462" spans="1:2" x14ac:dyDescent="0.2">
      <c r="A462" t="s">
        <v>6110</v>
      </c>
      <c r="B462" t="s">
        <v>6109</v>
      </c>
    </row>
    <row r="463" spans="1:2" x14ac:dyDescent="0.2">
      <c r="A463" t="s">
        <v>3073</v>
      </c>
      <c r="B463" t="s">
        <v>6111</v>
      </c>
    </row>
    <row r="464" spans="1:2" x14ac:dyDescent="0.2">
      <c r="A464" t="s">
        <v>3076</v>
      </c>
      <c r="B464" t="s">
        <v>6111</v>
      </c>
    </row>
    <row r="465" spans="1:2" x14ac:dyDescent="0.2">
      <c r="A465" t="s">
        <v>6112</v>
      </c>
      <c r="B465" t="s">
        <v>6113</v>
      </c>
    </row>
    <row r="466" spans="1:2" x14ac:dyDescent="0.2">
      <c r="A466" t="s">
        <v>6114</v>
      </c>
      <c r="B466" t="s">
        <v>6115</v>
      </c>
    </row>
    <row r="467" spans="1:2" x14ac:dyDescent="0.2">
      <c r="A467" t="s">
        <v>6116</v>
      </c>
      <c r="B467" t="s">
        <v>6117</v>
      </c>
    </row>
    <row r="468" spans="1:2" x14ac:dyDescent="0.2">
      <c r="A468" t="s">
        <v>3077</v>
      </c>
      <c r="B468" t="s">
        <v>6118</v>
      </c>
    </row>
    <row r="469" spans="1:2" x14ac:dyDescent="0.2">
      <c r="A469" t="s">
        <v>3080</v>
      </c>
      <c r="B469" t="s">
        <v>6119</v>
      </c>
    </row>
    <row r="470" spans="1:2" x14ac:dyDescent="0.2">
      <c r="A470" t="s">
        <v>6120</v>
      </c>
      <c r="B470" t="s">
        <v>6119</v>
      </c>
    </row>
    <row r="471" spans="1:2" x14ac:dyDescent="0.2">
      <c r="A471" t="s">
        <v>3083</v>
      </c>
      <c r="B471" t="s">
        <v>6121</v>
      </c>
    </row>
    <row r="472" spans="1:2" x14ac:dyDescent="0.2">
      <c r="A472" t="s">
        <v>6122</v>
      </c>
      <c r="B472" t="s">
        <v>6121</v>
      </c>
    </row>
    <row r="473" spans="1:2" x14ac:dyDescent="0.2">
      <c r="A473" t="s">
        <v>3086</v>
      </c>
      <c r="B473" t="s">
        <v>6123</v>
      </c>
    </row>
    <row r="474" spans="1:2" x14ac:dyDescent="0.2">
      <c r="A474" t="s">
        <v>6124</v>
      </c>
      <c r="B474" t="s">
        <v>6123</v>
      </c>
    </row>
    <row r="475" spans="1:2" x14ac:dyDescent="0.2">
      <c r="A475" t="s">
        <v>3089</v>
      </c>
      <c r="B475" t="s">
        <v>6125</v>
      </c>
    </row>
    <row r="476" spans="1:2" x14ac:dyDescent="0.2">
      <c r="A476" t="s">
        <v>6126</v>
      </c>
      <c r="B476" t="s">
        <v>6125</v>
      </c>
    </row>
    <row r="477" spans="1:2" x14ac:dyDescent="0.2">
      <c r="A477" t="s">
        <v>3091</v>
      </c>
      <c r="B477" t="s">
        <v>6127</v>
      </c>
    </row>
    <row r="478" spans="1:2" x14ac:dyDescent="0.2">
      <c r="A478" t="s">
        <v>3094</v>
      </c>
      <c r="B478" t="s">
        <v>6128</v>
      </c>
    </row>
    <row r="479" spans="1:2" x14ac:dyDescent="0.2">
      <c r="A479" t="s">
        <v>6129</v>
      </c>
      <c r="B479" t="s">
        <v>6128</v>
      </c>
    </row>
    <row r="480" spans="1:2" x14ac:dyDescent="0.2">
      <c r="A480" t="s">
        <v>3097</v>
      </c>
      <c r="B480" t="s">
        <v>6130</v>
      </c>
    </row>
    <row r="481" spans="1:2" x14ac:dyDescent="0.2">
      <c r="A481" t="s">
        <v>6131</v>
      </c>
      <c r="B481" t="s">
        <v>6130</v>
      </c>
    </row>
    <row r="482" spans="1:2" x14ac:dyDescent="0.2">
      <c r="A482" t="s">
        <v>3100</v>
      </c>
      <c r="B482" t="s">
        <v>6132</v>
      </c>
    </row>
    <row r="483" spans="1:2" x14ac:dyDescent="0.2">
      <c r="A483" t="s">
        <v>6133</v>
      </c>
      <c r="B483" t="s">
        <v>6132</v>
      </c>
    </row>
    <row r="484" spans="1:2" x14ac:dyDescent="0.2">
      <c r="A484" t="s">
        <v>3103</v>
      </c>
      <c r="B484" t="s">
        <v>6134</v>
      </c>
    </row>
    <row r="485" spans="1:2" x14ac:dyDescent="0.2">
      <c r="A485" t="s">
        <v>6135</v>
      </c>
      <c r="B485" t="s">
        <v>6134</v>
      </c>
    </row>
    <row r="486" spans="1:2" x14ac:dyDescent="0.2">
      <c r="A486" t="s">
        <v>3106</v>
      </c>
      <c r="B486" t="s">
        <v>6136</v>
      </c>
    </row>
    <row r="487" spans="1:2" x14ac:dyDescent="0.2">
      <c r="A487" t="s">
        <v>6137</v>
      </c>
      <c r="B487" t="s">
        <v>6136</v>
      </c>
    </row>
    <row r="488" spans="1:2" x14ac:dyDescent="0.2">
      <c r="A488" t="s">
        <v>3109</v>
      </c>
      <c r="B488" t="s">
        <v>6138</v>
      </c>
    </row>
    <row r="489" spans="1:2" x14ac:dyDescent="0.2">
      <c r="A489" t="s">
        <v>6139</v>
      </c>
      <c r="B489" t="s">
        <v>6138</v>
      </c>
    </row>
    <row r="490" spans="1:2" x14ac:dyDescent="0.2">
      <c r="A490" t="s">
        <v>3111</v>
      </c>
      <c r="B490" t="s">
        <v>6140</v>
      </c>
    </row>
    <row r="491" spans="1:2" x14ac:dyDescent="0.2">
      <c r="A491" t="s">
        <v>3114</v>
      </c>
      <c r="B491" t="s">
        <v>6141</v>
      </c>
    </row>
    <row r="492" spans="1:2" x14ac:dyDescent="0.2">
      <c r="A492" t="s">
        <v>6142</v>
      </c>
      <c r="B492" t="s">
        <v>6141</v>
      </c>
    </row>
    <row r="493" spans="1:2" x14ac:dyDescent="0.2">
      <c r="A493" t="s">
        <v>3117</v>
      </c>
      <c r="B493" t="s">
        <v>6143</v>
      </c>
    </row>
    <row r="494" spans="1:2" x14ac:dyDescent="0.2">
      <c r="A494" t="s">
        <v>6144</v>
      </c>
      <c r="B494" t="s">
        <v>6143</v>
      </c>
    </row>
    <row r="495" spans="1:2" x14ac:dyDescent="0.2">
      <c r="A495" t="s">
        <v>3120</v>
      </c>
      <c r="B495" t="s">
        <v>6145</v>
      </c>
    </row>
    <row r="496" spans="1:2" x14ac:dyDescent="0.2">
      <c r="A496" t="s">
        <v>6146</v>
      </c>
      <c r="B496" t="s">
        <v>6145</v>
      </c>
    </row>
    <row r="497" spans="1:2" x14ac:dyDescent="0.2">
      <c r="A497" t="s">
        <v>3123</v>
      </c>
      <c r="B497" t="s">
        <v>6147</v>
      </c>
    </row>
    <row r="498" spans="1:2" x14ac:dyDescent="0.2">
      <c r="A498" t="s">
        <v>6148</v>
      </c>
      <c r="B498" t="s">
        <v>6147</v>
      </c>
    </row>
    <row r="499" spans="1:2" x14ac:dyDescent="0.2">
      <c r="A499" t="s">
        <v>3125</v>
      </c>
      <c r="B499" t="s">
        <v>6149</v>
      </c>
    </row>
    <row r="500" spans="1:2" x14ac:dyDescent="0.2">
      <c r="A500" t="s">
        <v>3127</v>
      </c>
      <c r="B500" t="s">
        <v>6150</v>
      </c>
    </row>
    <row r="501" spans="1:2" x14ac:dyDescent="0.2">
      <c r="A501" t="s">
        <v>3130</v>
      </c>
      <c r="B501" t="s">
        <v>6151</v>
      </c>
    </row>
    <row r="502" spans="1:2" x14ac:dyDescent="0.2">
      <c r="A502" t="s">
        <v>6152</v>
      </c>
      <c r="B502" t="s">
        <v>6151</v>
      </c>
    </row>
    <row r="503" spans="1:2" x14ac:dyDescent="0.2">
      <c r="A503" t="s">
        <v>3133</v>
      </c>
      <c r="B503" t="s">
        <v>6153</v>
      </c>
    </row>
    <row r="504" spans="1:2" x14ac:dyDescent="0.2">
      <c r="A504" t="s">
        <v>6154</v>
      </c>
      <c r="B504" t="s">
        <v>6153</v>
      </c>
    </row>
    <row r="505" spans="1:2" x14ac:dyDescent="0.2">
      <c r="A505" t="s">
        <v>3135</v>
      </c>
      <c r="B505" t="s">
        <v>6155</v>
      </c>
    </row>
    <row r="506" spans="1:2" x14ac:dyDescent="0.2">
      <c r="A506" t="s">
        <v>3138</v>
      </c>
      <c r="B506" t="s">
        <v>6156</v>
      </c>
    </row>
    <row r="507" spans="1:2" x14ac:dyDescent="0.2">
      <c r="A507" t="s">
        <v>6157</v>
      </c>
      <c r="B507" t="s">
        <v>6156</v>
      </c>
    </row>
    <row r="508" spans="1:2" x14ac:dyDescent="0.2">
      <c r="A508" t="s">
        <v>3141</v>
      </c>
      <c r="B508" t="s">
        <v>6158</v>
      </c>
    </row>
    <row r="509" spans="1:2" x14ac:dyDescent="0.2">
      <c r="A509" t="s">
        <v>6159</v>
      </c>
      <c r="B509" t="s">
        <v>6158</v>
      </c>
    </row>
    <row r="510" spans="1:2" x14ac:dyDescent="0.2">
      <c r="A510" t="s">
        <v>3143</v>
      </c>
      <c r="B510" t="s">
        <v>6160</v>
      </c>
    </row>
    <row r="511" spans="1:2" x14ac:dyDescent="0.2">
      <c r="A511" t="s">
        <v>3146</v>
      </c>
      <c r="B511" t="s">
        <v>6160</v>
      </c>
    </row>
    <row r="512" spans="1:2" x14ac:dyDescent="0.2">
      <c r="A512" t="s">
        <v>6161</v>
      </c>
      <c r="B512" t="s">
        <v>6160</v>
      </c>
    </row>
    <row r="513" spans="1:2" x14ac:dyDescent="0.2">
      <c r="A513" t="s">
        <v>3147</v>
      </c>
      <c r="B513" t="s">
        <v>6162</v>
      </c>
    </row>
    <row r="514" spans="1:2" x14ac:dyDescent="0.2">
      <c r="A514" t="s">
        <v>3150</v>
      </c>
      <c r="B514" t="s">
        <v>6162</v>
      </c>
    </row>
    <row r="515" spans="1:2" x14ac:dyDescent="0.2">
      <c r="A515" t="s">
        <v>6163</v>
      </c>
      <c r="B515" t="s">
        <v>6162</v>
      </c>
    </row>
    <row r="516" spans="1:2" x14ac:dyDescent="0.2">
      <c r="A516" t="s">
        <v>3151</v>
      </c>
      <c r="B516" t="s">
        <v>6164</v>
      </c>
    </row>
    <row r="517" spans="1:2" x14ac:dyDescent="0.2">
      <c r="A517" t="s">
        <v>3154</v>
      </c>
      <c r="B517" t="s">
        <v>6164</v>
      </c>
    </row>
    <row r="518" spans="1:2" x14ac:dyDescent="0.2">
      <c r="A518" t="s">
        <v>6165</v>
      </c>
      <c r="B518" t="s">
        <v>6166</v>
      </c>
    </row>
    <row r="519" spans="1:2" x14ac:dyDescent="0.2">
      <c r="A519" t="s">
        <v>6167</v>
      </c>
      <c r="B519" t="s">
        <v>6168</v>
      </c>
    </row>
    <row r="520" spans="1:2" x14ac:dyDescent="0.2">
      <c r="A520" t="s">
        <v>6169</v>
      </c>
      <c r="B520" t="s">
        <v>6170</v>
      </c>
    </row>
    <row r="521" spans="1:2" x14ac:dyDescent="0.2">
      <c r="A521" t="s">
        <v>6171</v>
      </c>
      <c r="B521" t="s">
        <v>6172</v>
      </c>
    </row>
    <row r="522" spans="1:2" x14ac:dyDescent="0.2">
      <c r="A522" t="s">
        <v>6173</v>
      </c>
      <c r="B522" t="s">
        <v>6174</v>
      </c>
    </row>
    <row r="523" spans="1:2" x14ac:dyDescent="0.2">
      <c r="A523" t="s">
        <v>3155</v>
      </c>
      <c r="B523" t="s">
        <v>6175</v>
      </c>
    </row>
    <row r="524" spans="1:2" x14ac:dyDescent="0.2">
      <c r="A524" t="s">
        <v>3158</v>
      </c>
      <c r="B524" t="s">
        <v>6176</v>
      </c>
    </row>
    <row r="525" spans="1:2" x14ac:dyDescent="0.2">
      <c r="A525" t="s">
        <v>6177</v>
      </c>
      <c r="B525" t="s">
        <v>6176</v>
      </c>
    </row>
    <row r="526" spans="1:2" x14ac:dyDescent="0.2">
      <c r="A526" t="s">
        <v>3161</v>
      </c>
      <c r="B526" t="s">
        <v>6178</v>
      </c>
    </row>
    <row r="527" spans="1:2" x14ac:dyDescent="0.2">
      <c r="A527" t="s">
        <v>6179</v>
      </c>
      <c r="B527" t="s">
        <v>6178</v>
      </c>
    </row>
    <row r="528" spans="1:2" x14ac:dyDescent="0.2">
      <c r="A528" t="s">
        <v>3163</v>
      </c>
      <c r="B528" t="s">
        <v>6180</v>
      </c>
    </row>
    <row r="529" spans="1:2" x14ac:dyDescent="0.2">
      <c r="A529" t="s">
        <v>3166</v>
      </c>
      <c r="B529" t="s">
        <v>6181</v>
      </c>
    </row>
    <row r="530" spans="1:2" x14ac:dyDescent="0.2">
      <c r="A530" t="s">
        <v>6182</v>
      </c>
      <c r="B530" t="s">
        <v>6181</v>
      </c>
    </row>
    <row r="531" spans="1:2" x14ac:dyDescent="0.2">
      <c r="A531" t="s">
        <v>3169</v>
      </c>
      <c r="B531" t="s">
        <v>6183</v>
      </c>
    </row>
    <row r="532" spans="1:2" x14ac:dyDescent="0.2">
      <c r="A532" t="s">
        <v>6184</v>
      </c>
      <c r="B532" t="s">
        <v>6183</v>
      </c>
    </row>
    <row r="533" spans="1:2" x14ac:dyDescent="0.2">
      <c r="A533" t="s">
        <v>3172</v>
      </c>
      <c r="B533" t="s">
        <v>6185</v>
      </c>
    </row>
    <row r="534" spans="1:2" x14ac:dyDescent="0.2">
      <c r="A534" t="s">
        <v>6186</v>
      </c>
      <c r="B534" t="s">
        <v>6187</v>
      </c>
    </row>
    <row r="535" spans="1:2" x14ac:dyDescent="0.2">
      <c r="A535" t="s">
        <v>6188</v>
      </c>
      <c r="B535" t="s">
        <v>6189</v>
      </c>
    </row>
    <row r="536" spans="1:2" x14ac:dyDescent="0.2">
      <c r="A536" t="s">
        <v>6190</v>
      </c>
      <c r="B536" t="s">
        <v>6191</v>
      </c>
    </row>
    <row r="537" spans="1:2" x14ac:dyDescent="0.2">
      <c r="A537" t="s">
        <v>6192</v>
      </c>
      <c r="B537" t="s">
        <v>6193</v>
      </c>
    </row>
    <row r="538" spans="1:2" x14ac:dyDescent="0.2">
      <c r="A538" t="s">
        <v>6194</v>
      </c>
      <c r="B538" t="s">
        <v>6195</v>
      </c>
    </row>
    <row r="539" spans="1:2" x14ac:dyDescent="0.2">
      <c r="A539" t="s">
        <v>3174</v>
      </c>
      <c r="B539" t="s">
        <v>6196</v>
      </c>
    </row>
    <row r="540" spans="1:2" x14ac:dyDescent="0.2">
      <c r="A540" t="s">
        <v>3177</v>
      </c>
      <c r="B540" t="s">
        <v>6197</v>
      </c>
    </row>
    <row r="541" spans="1:2" x14ac:dyDescent="0.2">
      <c r="A541" t="s">
        <v>6198</v>
      </c>
      <c r="B541" t="s">
        <v>6197</v>
      </c>
    </row>
    <row r="542" spans="1:2" x14ac:dyDescent="0.2">
      <c r="A542" t="s">
        <v>3180</v>
      </c>
      <c r="B542" t="s">
        <v>6199</v>
      </c>
    </row>
    <row r="543" spans="1:2" x14ac:dyDescent="0.2">
      <c r="A543" t="s">
        <v>6200</v>
      </c>
      <c r="B543" t="s">
        <v>6199</v>
      </c>
    </row>
    <row r="544" spans="1:2" x14ac:dyDescent="0.2">
      <c r="A544" t="s">
        <v>3183</v>
      </c>
      <c r="B544" t="s">
        <v>6201</v>
      </c>
    </row>
    <row r="545" spans="1:2" x14ac:dyDescent="0.2">
      <c r="A545" t="s">
        <v>6202</v>
      </c>
      <c r="B545" t="s">
        <v>6201</v>
      </c>
    </row>
    <row r="546" spans="1:2" x14ac:dyDescent="0.2">
      <c r="A546" t="s">
        <v>3186</v>
      </c>
      <c r="B546" t="s">
        <v>6203</v>
      </c>
    </row>
    <row r="547" spans="1:2" x14ac:dyDescent="0.2">
      <c r="A547" t="s">
        <v>6204</v>
      </c>
      <c r="B547" t="s">
        <v>6203</v>
      </c>
    </row>
    <row r="548" spans="1:2" x14ac:dyDescent="0.2">
      <c r="A548" t="s">
        <v>3189</v>
      </c>
      <c r="B548" t="s">
        <v>6205</v>
      </c>
    </row>
    <row r="549" spans="1:2" x14ac:dyDescent="0.2">
      <c r="A549" t="s">
        <v>6206</v>
      </c>
      <c r="B549" t="s">
        <v>6207</v>
      </c>
    </row>
    <row r="550" spans="1:2" x14ac:dyDescent="0.2">
      <c r="A550" t="s">
        <v>6208</v>
      </c>
      <c r="B550" t="s">
        <v>6209</v>
      </c>
    </row>
    <row r="551" spans="1:2" x14ac:dyDescent="0.2">
      <c r="A551" t="s">
        <v>6210</v>
      </c>
      <c r="B551" t="s">
        <v>6211</v>
      </c>
    </row>
    <row r="552" spans="1:2" x14ac:dyDescent="0.2">
      <c r="A552" t="s">
        <v>3191</v>
      </c>
      <c r="B552" t="s">
        <v>6212</v>
      </c>
    </row>
    <row r="553" spans="1:2" x14ac:dyDescent="0.2">
      <c r="A553" t="s">
        <v>3193</v>
      </c>
      <c r="B553" t="s">
        <v>6213</v>
      </c>
    </row>
    <row r="554" spans="1:2" x14ac:dyDescent="0.2">
      <c r="A554" t="s">
        <v>3196</v>
      </c>
      <c r="B554" t="s">
        <v>6214</v>
      </c>
    </row>
    <row r="555" spans="1:2" x14ac:dyDescent="0.2">
      <c r="A555" t="s">
        <v>6215</v>
      </c>
      <c r="B555" t="s">
        <v>6216</v>
      </c>
    </row>
    <row r="556" spans="1:2" x14ac:dyDescent="0.2">
      <c r="A556" t="s">
        <v>6217</v>
      </c>
      <c r="B556" t="s">
        <v>6218</v>
      </c>
    </row>
    <row r="557" spans="1:2" x14ac:dyDescent="0.2">
      <c r="A557" t="s">
        <v>3199</v>
      </c>
      <c r="B557" t="s">
        <v>6219</v>
      </c>
    </row>
    <row r="558" spans="1:2" x14ac:dyDescent="0.2">
      <c r="A558" t="s">
        <v>6220</v>
      </c>
      <c r="B558" t="s">
        <v>6219</v>
      </c>
    </row>
    <row r="559" spans="1:2" x14ac:dyDescent="0.2">
      <c r="A559" t="s">
        <v>3201</v>
      </c>
      <c r="B559" t="s">
        <v>6221</v>
      </c>
    </row>
    <row r="560" spans="1:2" x14ac:dyDescent="0.2">
      <c r="A560" t="s">
        <v>3204</v>
      </c>
      <c r="B560" t="s">
        <v>6221</v>
      </c>
    </row>
    <row r="561" spans="1:2" x14ac:dyDescent="0.2">
      <c r="A561" t="s">
        <v>6222</v>
      </c>
      <c r="B561" t="s">
        <v>6221</v>
      </c>
    </row>
    <row r="562" spans="1:2" x14ac:dyDescent="0.2">
      <c r="A562" t="s">
        <v>3205</v>
      </c>
      <c r="B562" t="s">
        <v>6223</v>
      </c>
    </row>
    <row r="563" spans="1:2" x14ac:dyDescent="0.2">
      <c r="A563" t="s">
        <v>3208</v>
      </c>
      <c r="B563" t="s">
        <v>6223</v>
      </c>
    </row>
    <row r="564" spans="1:2" x14ac:dyDescent="0.2">
      <c r="A564" t="s">
        <v>6224</v>
      </c>
      <c r="B564" t="s">
        <v>6223</v>
      </c>
    </row>
    <row r="565" spans="1:2" x14ac:dyDescent="0.2">
      <c r="A565" t="s">
        <v>3209</v>
      </c>
      <c r="B565" t="s">
        <v>6225</v>
      </c>
    </row>
    <row r="566" spans="1:2" x14ac:dyDescent="0.2">
      <c r="A566" t="s">
        <v>3212</v>
      </c>
      <c r="B566" t="s">
        <v>6225</v>
      </c>
    </row>
    <row r="567" spans="1:2" x14ac:dyDescent="0.2">
      <c r="A567" t="s">
        <v>6226</v>
      </c>
      <c r="B567" t="s">
        <v>6225</v>
      </c>
    </row>
    <row r="568" spans="1:2" x14ac:dyDescent="0.2">
      <c r="A568" t="s">
        <v>3213</v>
      </c>
      <c r="B568" t="s">
        <v>6227</v>
      </c>
    </row>
    <row r="569" spans="1:2" x14ac:dyDescent="0.2">
      <c r="A569" t="s">
        <v>3216</v>
      </c>
      <c r="B569" t="s">
        <v>6228</v>
      </c>
    </row>
    <row r="570" spans="1:2" x14ac:dyDescent="0.2">
      <c r="A570" t="s">
        <v>6229</v>
      </c>
      <c r="B570" t="s">
        <v>6230</v>
      </c>
    </row>
    <row r="571" spans="1:2" x14ac:dyDescent="0.2">
      <c r="A571" t="s">
        <v>6231</v>
      </c>
      <c r="B571" t="s">
        <v>6232</v>
      </c>
    </row>
    <row r="572" spans="1:2" x14ac:dyDescent="0.2">
      <c r="A572" t="s">
        <v>6233</v>
      </c>
      <c r="B572" t="s">
        <v>6234</v>
      </c>
    </row>
    <row r="573" spans="1:2" x14ac:dyDescent="0.2">
      <c r="A573" t="s">
        <v>3219</v>
      </c>
      <c r="B573" t="s">
        <v>6235</v>
      </c>
    </row>
    <row r="574" spans="1:2" x14ac:dyDescent="0.2">
      <c r="A574" t="s">
        <v>6236</v>
      </c>
      <c r="B574" t="s">
        <v>6235</v>
      </c>
    </row>
    <row r="575" spans="1:2" x14ac:dyDescent="0.2">
      <c r="A575" t="s">
        <v>3221</v>
      </c>
      <c r="B575" t="s">
        <v>6237</v>
      </c>
    </row>
    <row r="576" spans="1:2" x14ac:dyDescent="0.2">
      <c r="A576" t="s">
        <v>3224</v>
      </c>
      <c r="B576" t="s">
        <v>6237</v>
      </c>
    </row>
    <row r="577" spans="1:2" x14ac:dyDescent="0.2">
      <c r="A577" t="s">
        <v>6238</v>
      </c>
      <c r="B577" t="s">
        <v>6237</v>
      </c>
    </row>
    <row r="578" spans="1:2" x14ac:dyDescent="0.2">
      <c r="A578" t="s">
        <v>3225</v>
      </c>
      <c r="B578" t="s">
        <v>6239</v>
      </c>
    </row>
    <row r="579" spans="1:2" x14ac:dyDescent="0.2">
      <c r="A579" t="s">
        <v>3228</v>
      </c>
      <c r="B579" t="s">
        <v>6239</v>
      </c>
    </row>
    <row r="580" spans="1:2" x14ac:dyDescent="0.2">
      <c r="A580" t="s">
        <v>6240</v>
      </c>
      <c r="B580" t="s">
        <v>6239</v>
      </c>
    </row>
    <row r="581" spans="1:2" x14ac:dyDescent="0.2">
      <c r="A581" t="s">
        <v>3229</v>
      </c>
      <c r="B581" t="s">
        <v>6241</v>
      </c>
    </row>
    <row r="582" spans="1:2" x14ac:dyDescent="0.2">
      <c r="A582" t="s">
        <v>3232</v>
      </c>
      <c r="B582" t="s">
        <v>6241</v>
      </c>
    </row>
    <row r="583" spans="1:2" x14ac:dyDescent="0.2">
      <c r="A583" t="s">
        <v>6242</v>
      </c>
      <c r="B583" t="s">
        <v>6241</v>
      </c>
    </row>
    <row r="584" spans="1:2" x14ac:dyDescent="0.2">
      <c r="A584" t="s">
        <v>3233</v>
      </c>
      <c r="B584" t="s">
        <v>6243</v>
      </c>
    </row>
    <row r="585" spans="1:2" x14ac:dyDescent="0.2">
      <c r="A585" t="s">
        <v>3235</v>
      </c>
      <c r="B585" t="s">
        <v>6244</v>
      </c>
    </row>
    <row r="586" spans="1:2" x14ac:dyDescent="0.2">
      <c r="A586" t="s">
        <v>3238</v>
      </c>
      <c r="B586" t="s">
        <v>6245</v>
      </c>
    </row>
    <row r="587" spans="1:2" x14ac:dyDescent="0.2">
      <c r="A587" t="s">
        <v>6246</v>
      </c>
      <c r="B587" t="s">
        <v>6245</v>
      </c>
    </row>
    <row r="588" spans="1:2" x14ac:dyDescent="0.2">
      <c r="A588" t="s">
        <v>3241</v>
      </c>
      <c r="B588" t="s">
        <v>6247</v>
      </c>
    </row>
    <row r="589" spans="1:2" x14ac:dyDescent="0.2">
      <c r="A589" t="s">
        <v>6248</v>
      </c>
      <c r="B589" t="s">
        <v>6247</v>
      </c>
    </row>
    <row r="590" spans="1:2" x14ac:dyDescent="0.2">
      <c r="A590" t="s">
        <v>3243</v>
      </c>
      <c r="B590" t="s">
        <v>6249</v>
      </c>
    </row>
    <row r="591" spans="1:2" x14ac:dyDescent="0.2">
      <c r="A591" t="s">
        <v>3246</v>
      </c>
      <c r="B591" t="s">
        <v>6249</v>
      </c>
    </row>
    <row r="592" spans="1:2" x14ac:dyDescent="0.2">
      <c r="A592" t="s">
        <v>6250</v>
      </c>
      <c r="B592" t="s">
        <v>6249</v>
      </c>
    </row>
    <row r="593" spans="1:2" x14ac:dyDescent="0.2">
      <c r="A593" t="s">
        <v>3247</v>
      </c>
      <c r="B593" t="s">
        <v>6251</v>
      </c>
    </row>
    <row r="594" spans="1:2" x14ac:dyDescent="0.2">
      <c r="A594" t="s">
        <v>3250</v>
      </c>
      <c r="B594" t="s">
        <v>6252</v>
      </c>
    </row>
    <row r="595" spans="1:2" x14ac:dyDescent="0.2">
      <c r="A595" t="s">
        <v>6253</v>
      </c>
      <c r="B595" t="s">
        <v>6252</v>
      </c>
    </row>
    <row r="596" spans="1:2" x14ac:dyDescent="0.2">
      <c r="A596" t="s">
        <v>3253</v>
      </c>
      <c r="B596" t="s">
        <v>6254</v>
      </c>
    </row>
    <row r="597" spans="1:2" x14ac:dyDescent="0.2">
      <c r="A597" t="s">
        <v>6255</v>
      </c>
      <c r="B597" t="s">
        <v>6254</v>
      </c>
    </row>
    <row r="598" spans="1:2" x14ac:dyDescent="0.2">
      <c r="A598" t="s">
        <v>3256</v>
      </c>
      <c r="B598" t="s">
        <v>6256</v>
      </c>
    </row>
    <row r="599" spans="1:2" x14ac:dyDescent="0.2">
      <c r="A599" t="s">
        <v>6257</v>
      </c>
      <c r="B599" t="s">
        <v>6256</v>
      </c>
    </row>
    <row r="600" spans="1:2" x14ac:dyDescent="0.2">
      <c r="A600" t="s">
        <v>3258</v>
      </c>
      <c r="B600" t="s">
        <v>6258</v>
      </c>
    </row>
    <row r="601" spans="1:2" x14ac:dyDescent="0.2">
      <c r="A601" t="s">
        <v>3261</v>
      </c>
      <c r="B601" t="s">
        <v>6258</v>
      </c>
    </row>
    <row r="602" spans="1:2" x14ac:dyDescent="0.2">
      <c r="A602" t="s">
        <v>6259</v>
      </c>
      <c r="B602" t="s">
        <v>6258</v>
      </c>
    </row>
    <row r="603" spans="1:2" x14ac:dyDescent="0.2">
      <c r="A603" t="s">
        <v>3262</v>
      </c>
      <c r="B603" t="s">
        <v>6260</v>
      </c>
    </row>
    <row r="604" spans="1:2" x14ac:dyDescent="0.2">
      <c r="A604" t="s">
        <v>3265</v>
      </c>
      <c r="B604" t="s">
        <v>6261</v>
      </c>
    </row>
    <row r="605" spans="1:2" x14ac:dyDescent="0.2">
      <c r="A605" t="s">
        <v>6262</v>
      </c>
      <c r="B605" t="s">
        <v>6261</v>
      </c>
    </row>
    <row r="606" spans="1:2" x14ac:dyDescent="0.2">
      <c r="A606" t="s">
        <v>3268</v>
      </c>
      <c r="B606" t="s">
        <v>6263</v>
      </c>
    </row>
    <row r="607" spans="1:2" x14ac:dyDescent="0.2">
      <c r="A607" t="s">
        <v>6264</v>
      </c>
      <c r="B607" t="s">
        <v>6265</v>
      </c>
    </row>
    <row r="608" spans="1:2" x14ac:dyDescent="0.2">
      <c r="A608" t="s">
        <v>3270</v>
      </c>
      <c r="B608" t="s">
        <v>6266</v>
      </c>
    </row>
    <row r="609" spans="1:2" x14ac:dyDescent="0.2">
      <c r="A609" t="s">
        <v>3273</v>
      </c>
      <c r="B609" t="s">
        <v>6266</v>
      </c>
    </row>
    <row r="610" spans="1:2" x14ac:dyDescent="0.2">
      <c r="A610" t="s">
        <v>6267</v>
      </c>
      <c r="B610" t="s">
        <v>6266</v>
      </c>
    </row>
    <row r="611" spans="1:2" x14ac:dyDescent="0.2">
      <c r="A611" t="s">
        <v>3274</v>
      </c>
      <c r="B611" t="s">
        <v>6268</v>
      </c>
    </row>
    <row r="612" spans="1:2" x14ac:dyDescent="0.2">
      <c r="A612" t="s">
        <v>3276</v>
      </c>
      <c r="B612" t="s">
        <v>6269</v>
      </c>
    </row>
    <row r="613" spans="1:2" x14ac:dyDescent="0.2">
      <c r="A613" t="s">
        <v>3279</v>
      </c>
      <c r="B613" t="s">
        <v>6270</v>
      </c>
    </row>
    <row r="614" spans="1:2" x14ac:dyDescent="0.2">
      <c r="A614" t="s">
        <v>6271</v>
      </c>
      <c r="B614" t="s">
        <v>6270</v>
      </c>
    </row>
    <row r="615" spans="1:2" x14ac:dyDescent="0.2">
      <c r="A615" t="s">
        <v>3282</v>
      </c>
      <c r="B615" t="s">
        <v>6272</v>
      </c>
    </row>
    <row r="616" spans="1:2" x14ac:dyDescent="0.2">
      <c r="A616" t="s">
        <v>6273</v>
      </c>
      <c r="B616" t="s">
        <v>6272</v>
      </c>
    </row>
    <row r="617" spans="1:2" x14ac:dyDescent="0.2">
      <c r="A617" t="s">
        <v>3285</v>
      </c>
      <c r="B617" t="s">
        <v>6274</v>
      </c>
    </row>
    <row r="618" spans="1:2" x14ac:dyDescent="0.2">
      <c r="A618" t="s">
        <v>6275</v>
      </c>
      <c r="B618" t="s">
        <v>6274</v>
      </c>
    </row>
    <row r="619" spans="1:2" x14ac:dyDescent="0.2">
      <c r="A619" t="s">
        <v>3288</v>
      </c>
      <c r="B619" t="s">
        <v>6276</v>
      </c>
    </row>
    <row r="620" spans="1:2" x14ac:dyDescent="0.2">
      <c r="A620" t="s">
        <v>6277</v>
      </c>
      <c r="B620" t="s">
        <v>6278</v>
      </c>
    </row>
    <row r="621" spans="1:2" x14ac:dyDescent="0.2">
      <c r="A621" t="s">
        <v>3291</v>
      </c>
      <c r="B621" t="s">
        <v>6279</v>
      </c>
    </row>
    <row r="622" spans="1:2" x14ac:dyDescent="0.2">
      <c r="A622" t="s">
        <v>6280</v>
      </c>
      <c r="B622" t="s">
        <v>6279</v>
      </c>
    </row>
    <row r="623" spans="1:2" x14ac:dyDescent="0.2">
      <c r="A623" t="s">
        <v>3293</v>
      </c>
      <c r="B623" t="s">
        <v>6281</v>
      </c>
    </row>
    <row r="624" spans="1:2" x14ac:dyDescent="0.2">
      <c r="A624" t="s">
        <v>3296</v>
      </c>
      <c r="B624" t="s">
        <v>6282</v>
      </c>
    </row>
    <row r="625" spans="1:2" x14ac:dyDescent="0.2">
      <c r="A625" t="s">
        <v>6283</v>
      </c>
      <c r="B625" t="s">
        <v>6284</v>
      </c>
    </row>
    <row r="626" spans="1:2" x14ac:dyDescent="0.2">
      <c r="A626" t="s">
        <v>6285</v>
      </c>
      <c r="B626" t="s">
        <v>6286</v>
      </c>
    </row>
    <row r="627" spans="1:2" x14ac:dyDescent="0.2">
      <c r="A627" t="s">
        <v>3299</v>
      </c>
      <c r="B627" t="s">
        <v>6287</v>
      </c>
    </row>
    <row r="628" spans="1:2" x14ac:dyDescent="0.2">
      <c r="A628" t="s">
        <v>6288</v>
      </c>
      <c r="B628" t="s">
        <v>6287</v>
      </c>
    </row>
    <row r="629" spans="1:2" x14ac:dyDescent="0.2">
      <c r="A629" t="s">
        <v>3302</v>
      </c>
      <c r="B629" t="s">
        <v>6289</v>
      </c>
    </row>
    <row r="630" spans="1:2" x14ac:dyDescent="0.2">
      <c r="A630" t="s">
        <v>6290</v>
      </c>
      <c r="B630" t="s">
        <v>6289</v>
      </c>
    </row>
    <row r="631" spans="1:2" x14ac:dyDescent="0.2">
      <c r="A631" t="s">
        <v>3305</v>
      </c>
      <c r="B631" t="s">
        <v>6291</v>
      </c>
    </row>
    <row r="632" spans="1:2" x14ac:dyDescent="0.2">
      <c r="A632" t="s">
        <v>6292</v>
      </c>
      <c r="B632" t="s">
        <v>6291</v>
      </c>
    </row>
    <row r="633" spans="1:2" x14ac:dyDescent="0.2">
      <c r="A633" t="s">
        <v>3308</v>
      </c>
      <c r="B633" t="s">
        <v>6293</v>
      </c>
    </row>
    <row r="634" spans="1:2" x14ac:dyDescent="0.2">
      <c r="A634" t="s">
        <v>6294</v>
      </c>
      <c r="B634" t="s">
        <v>6293</v>
      </c>
    </row>
    <row r="635" spans="1:2" x14ac:dyDescent="0.2">
      <c r="A635" t="s">
        <v>3311</v>
      </c>
      <c r="B635" t="s">
        <v>6295</v>
      </c>
    </row>
    <row r="636" spans="1:2" x14ac:dyDescent="0.2">
      <c r="A636" t="s">
        <v>6296</v>
      </c>
      <c r="B636" t="s">
        <v>6295</v>
      </c>
    </row>
    <row r="637" spans="1:2" x14ac:dyDescent="0.2">
      <c r="A637" t="s">
        <v>3313</v>
      </c>
      <c r="B637" t="s">
        <v>6297</v>
      </c>
    </row>
    <row r="638" spans="1:2" x14ac:dyDescent="0.2">
      <c r="A638" t="s">
        <v>3316</v>
      </c>
      <c r="B638" t="s">
        <v>6297</v>
      </c>
    </row>
    <row r="639" spans="1:2" x14ac:dyDescent="0.2">
      <c r="A639" t="s">
        <v>6298</v>
      </c>
      <c r="B639" t="s">
        <v>6297</v>
      </c>
    </row>
    <row r="640" spans="1:2" x14ac:dyDescent="0.2">
      <c r="A640" t="s">
        <v>3317</v>
      </c>
      <c r="B640" t="s">
        <v>6299</v>
      </c>
    </row>
    <row r="641" spans="1:2" x14ac:dyDescent="0.2">
      <c r="A641" t="s">
        <v>3320</v>
      </c>
      <c r="B641" t="s">
        <v>6300</v>
      </c>
    </row>
    <row r="642" spans="1:2" x14ac:dyDescent="0.2">
      <c r="A642" t="s">
        <v>6301</v>
      </c>
      <c r="B642" t="s">
        <v>6300</v>
      </c>
    </row>
    <row r="643" spans="1:2" x14ac:dyDescent="0.2">
      <c r="A643" t="s">
        <v>3323</v>
      </c>
      <c r="B643" t="s">
        <v>6302</v>
      </c>
    </row>
    <row r="644" spans="1:2" x14ac:dyDescent="0.2">
      <c r="A644" t="s">
        <v>6303</v>
      </c>
      <c r="B644" t="s">
        <v>6304</v>
      </c>
    </row>
    <row r="645" spans="1:2" x14ac:dyDescent="0.2">
      <c r="A645" t="s">
        <v>6305</v>
      </c>
      <c r="B645" t="s">
        <v>6306</v>
      </c>
    </row>
    <row r="646" spans="1:2" x14ac:dyDescent="0.2">
      <c r="A646" t="s">
        <v>6307</v>
      </c>
      <c r="B646" t="s">
        <v>6308</v>
      </c>
    </row>
    <row r="647" spans="1:2" x14ac:dyDescent="0.2">
      <c r="A647" t="s">
        <v>6309</v>
      </c>
      <c r="B647" t="s">
        <v>6310</v>
      </c>
    </row>
    <row r="648" spans="1:2" x14ac:dyDescent="0.2">
      <c r="A648" t="s">
        <v>3325</v>
      </c>
      <c r="B648" t="s">
        <v>6311</v>
      </c>
    </row>
    <row r="649" spans="1:2" x14ac:dyDescent="0.2">
      <c r="A649" t="s">
        <v>3328</v>
      </c>
      <c r="B649" t="s">
        <v>6312</v>
      </c>
    </row>
    <row r="650" spans="1:2" x14ac:dyDescent="0.2">
      <c r="A650" t="s">
        <v>6313</v>
      </c>
      <c r="B650" t="s">
        <v>6312</v>
      </c>
    </row>
    <row r="651" spans="1:2" x14ac:dyDescent="0.2">
      <c r="A651" t="s">
        <v>3331</v>
      </c>
      <c r="B651" t="s">
        <v>6314</v>
      </c>
    </row>
    <row r="652" spans="1:2" x14ac:dyDescent="0.2">
      <c r="A652" t="s">
        <v>6315</v>
      </c>
      <c r="B652" t="s">
        <v>6316</v>
      </c>
    </row>
    <row r="653" spans="1:2" x14ac:dyDescent="0.2">
      <c r="A653" t="s">
        <v>6317</v>
      </c>
      <c r="B653" t="s">
        <v>6318</v>
      </c>
    </row>
    <row r="654" spans="1:2" x14ac:dyDescent="0.2">
      <c r="A654" t="s">
        <v>3334</v>
      </c>
      <c r="B654" t="s">
        <v>6319</v>
      </c>
    </row>
    <row r="655" spans="1:2" x14ac:dyDescent="0.2">
      <c r="A655" t="s">
        <v>6320</v>
      </c>
      <c r="B655" t="s">
        <v>6319</v>
      </c>
    </row>
    <row r="656" spans="1:2" x14ac:dyDescent="0.2">
      <c r="A656" t="s">
        <v>3337</v>
      </c>
      <c r="B656" t="s">
        <v>6321</v>
      </c>
    </row>
    <row r="657" spans="1:2" x14ac:dyDescent="0.2">
      <c r="A657" t="s">
        <v>6322</v>
      </c>
      <c r="B657" t="s">
        <v>6321</v>
      </c>
    </row>
    <row r="658" spans="1:2" x14ac:dyDescent="0.2">
      <c r="A658" t="s">
        <v>3340</v>
      </c>
      <c r="B658" t="s">
        <v>6323</v>
      </c>
    </row>
    <row r="659" spans="1:2" x14ac:dyDescent="0.2">
      <c r="A659" t="s">
        <v>6324</v>
      </c>
      <c r="B659" t="s">
        <v>6323</v>
      </c>
    </row>
    <row r="660" spans="1:2" x14ac:dyDescent="0.2">
      <c r="A660" t="s">
        <v>3343</v>
      </c>
      <c r="B660" t="s">
        <v>6325</v>
      </c>
    </row>
    <row r="661" spans="1:2" x14ac:dyDescent="0.2">
      <c r="A661" t="s">
        <v>6326</v>
      </c>
      <c r="B661" t="s">
        <v>6325</v>
      </c>
    </row>
    <row r="662" spans="1:2" x14ac:dyDescent="0.2">
      <c r="A662" t="s">
        <v>3346</v>
      </c>
      <c r="B662" t="s">
        <v>6327</v>
      </c>
    </row>
    <row r="663" spans="1:2" x14ac:dyDescent="0.2">
      <c r="A663" t="s">
        <v>6328</v>
      </c>
      <c r="B663" t="s">
        <v>6327</v>
      </c>
    </row>
    <row r="664" spans="1:2" x14ac:dyDescent="0.2">
      <c r="A664" t="s">
        <v>3348</v>
      </c>
      <c r="B664" t="s">
        <v>6329</v>
      </c>
    </row>
    <row r="665" spans="1:2" x14ac:dyDescent="0.2">
      <c r="A665" t="s">
        <v>3350</v>
      </c>
      <c r="B665" t="s">
        <v>6330</v>
      </c>
    </row>
    <row r="666" spans="1:2" x14ac:dyDescent="0.2">
      <c r="A666" t="s">
        <v>3353</v>
      </c>
      <c r="B666" t="s">
        <v>6330</v>
      </c>
    </row>
    <row r="667" spans="1:2" x14ac:dyDescent="0.2">
      <c r="A667" t="s">
        <v>6331</v>
      </c>
      <c r="B667" t="s">
        <v>6332</v>
      </c>
    </row>
    <row r="668" spans="1:2" x14ac:dyDescent="0.2">
      <c r="A668" t="s">
        <v>6333</v>
      </c>
      <c r="B668" t="s">
        <v>6334</v>
      </c>
    </row>
    <row r="669" spans="1:2" x14ac:dyDescent="0.2">
      <c r="A669" t="s">
        <v>3354</v>
      </c>
      <c r="B669" t="s">
        <v>6335</v>
      </c>
    </row>
    <row r="670" spans="1:2" x14ac:dyDescent="0.2">
      <c r="A670" t="s">
        <v>3357</v>
      </c>
      <c r="B670" t="s">
        <v>6335</v>
      </c>
    </row>
    <row r="671" spans="1:2" x14ac:dyDescent="0.2">
      <c r="A671" t="s">
        <v>6336</v>
      </c>
      <c r="B671" t="s">
        <v>6335</v>
      </c>
    </row>
    <row r="672" spans="1:2" x14ac:dyDescent="0.2">
      <c r="A672" t="s">
        <v>3358</v>
      </c>
      <c r="B672" t="s">
        <v>6337</v>
      </c>
    </row>
    <row r="673" spans="1:2" x14ac:dyDescent="0.2">
      <c r="A673" t="s">
        <v>3361</v>
      </c>
      <c r="B673" t="s">
        <v>6338</v>
      </c>
    </row>
    <row r="674" spans="1:2" x14ac:dyDescent="0.2">
      <c r="A674" t="s">
        <v>6339</v>
      </c>
      <c r="B674" t="s">
        <v>6338</v>
      </c>
    </row>
    <row r="675" spans="1:2" x14ac:dyDescent="0.2">
      <c r="A675" t="s">
        <v>3364</v>
      </c>
      <c r="B675" t="s">
        <v>6340</v>
      </c>
    </row>
    <row r="676" spans="1:2" x14ac:dyDescent="0.2">
      <c r="A676" t="s">
        <v>6341</v>
      </c>
      <c r="B676" t="s">
        <v>6340</v>
      </c>
    </row>
    <row r="677" spans="1:2" x14ac:dyDescent="0.2">
      <c r="A677" t="s">
        <v>3366</v>
      </c>
      <c r="B677" t="s">
        <v>6342</v>
      </c>
    </row>
    <row r="678" spans="1:2" x14ac:dyDescent="0.2">
      <c r="A678" t="s">
        <v>3368</v>
      </c>
      <c r="B678" t="s">
        <v>6343</v>
      </c>
    </row>
    <row r="679" spans="1:2" x14ac:dyDescent="0.2">
      <c r="A679" t="s">
        <v>3371</v>
      </c>
      <c r="B679" t="s">
        <v>6344</v>
      </c>
    </row>
    <row r="680" spans="1:2" x14ac:dyDescent="0.2">
      <c r="A680" t="s">
        <v>6345</v>
      </c>
      <c r="B680" t="s">
        <v>6344</v>
      </c>
    </row>
    <row r="681" spans="1:2" x14ac:dyDescent="0.2">
      <c r="A681" t="s">
        <v>3374</v>
      </c>
      <c r="B681" t="s">
        <v>6346</v>
      </c>
    </row>
    <row r="682" spans="1:2" x14ac:dyDescent="0.2">
      <c r="A682" t="s">
        <v>6347</v>
      </c>
      <c r="B682" t="s">
        <v>6346</v>
      </c>
    </row>
    <row r="683" spans="1:2" x14ac:dyDescent="0.2">
      <c r="A683" t="s">
        <v>3376</v>
      </c>
      <c r="B683" t="s">
        <v>6348</v>
      </c>
    </row>
    <row r="684" spans="1:2" x14ac:dyDescent="0.2">
      <c r="A684" t="s">
        <v>3379</v>
      </c>
      <c r="B684" t="s">
        <v>6348</v>
      </c>
    </row>
    <row r="685" spans="1:2" x14ac:dyDescent="0.2">
      <c r="A685" t="s">
        <v>6349</v>
      </c>
      <c r="B685" t="s">
        <v>6350</v>
      </c>
    </row>
    <row r="686" spans="1:2" x14ac:dyDescent="0.2">
      <c r="A686" t="s">
        <v>6351</v>
      </c>
      <c r="B686" t="s">
        <v>6352</v>
      </c>
    </row>
    <row r="687" spans="1:2" x14ac:dyDescent="0.2">
      <c r="A687" t="s">
        <v>3380</v>
      </c>
      <c r="B687" t="s">
        <v>6353</v>
      </c>
    </row>
    <row r="688" spans="1:2" x14ac:dyDescent="0.2">
      <c r="A688" t="s">
        <v>3383</v>
      </c>
      <c r="B688" t="s">
        <v>6353</v>
      </c>
    </row>
    <row r="689" spans="1:2" x14ac:dyDescent="0.2">
      <c r="A689" t="s">
        <v>6354</v>
      </c>
      <c r="B689" t="s">
        <v>6353</v>
      </c>
    </row>
    <row r="690" spans="1:2" x14ac:dyDescent="0.2">
      <c r="A690" t="s">
        <v>3384</v>
      </c>
      <c r="B690" t="s">
        <v>6355</v>
      </c>
    </row>
    <row r="691" spans="1:2" x14ac:dyDescent="0.2">
      <c r="A691" t="s">
        <v>3387</v>
      </c>
      <c r="B691" t="s">
        <v>6355</v>
      </c>
    </row>
    <row r="692" spans="1:2" x14ac:dyDescent="0.2">
      <c r="A692" t="s">
        <v>6356</v>
      </c>
      <c r="B692" t="s">
        <v>6355</v>
      </c>
    </row>
    <row r="693" spans="1:2" x14ac:dyDescent="0.2">
      <c r="A693" t="s">
        <v>3388</v>
      </c>
      <c r="B693" t="s">
        <v>6357</v>
      </c>
    </row>
    <row r="694" spans="1:2" x14ac:dyDescent="0.2">
      <c r="A694" t="s">
        <v>3391</v>
      </c>
      <c r="B694" t="s">
        <v>6358</v>
      </c>
    </row>
    <row r="695" spans="1:2" x14ac:dyDescent="0.2">
      <c r="A695" t="s">
        <v>6359</v>
      </c>
      <c r="B695" t="s">
        <v>6358</v>
      </c>
    </row>
    <row r="696" spans="1:2" x14ac:dyDescent="0.2">
      <c r="A696" t="s">
        <v>3394</v>
      </c>
      <c r="B696" t="s">
        <v>6360</v>
      </c>
    </row>
    <row r="697" spans="1:2" x14ac:dyDescent="0.2">
      <c r="A697" t="s">
        <v>6361</v>
      </c>
      <c r="B697" t="s">
        <v>6360</v>
      </c>
    </row>
    <row r="698" spans="1:2" x14ac:dyDescent="0.2">
      <c r="A698" t="s">
        <v>3397</v>
      </c>
      <c r="B698" t="s">
        <v>6362</v>
      </c>
    </row>
    <row r="699" spans="1:2" x14ac:dyDescent="0.2">
      <c r="A699" t="s">
        <v>6363</v>
      </c>
      <c r="B699" t="s">
        <v>6362</v>
      </c>
    </row>
    <row r="700" spans="1:2" x14ac:dyDescent="0.2">
      <c r="A700" t="s">
        <v>3399</v>
      </c>
      <c r="B700" t="s">
        <v>6364</v>
      </c>
    </row>
    <row r="701" spans="1:2" x14ac:dyDescent="0.2">
      <c r="A701" t="s">
        <v>3401</v>
      </c>
      <c r="B701" t="s">
        <v>6364</v>
      </c>
    </row>
    <row r="702" spans="1:2" x14ac:dyDescent="0.2">
      <c r="A702" t="s">
        <v>3403</v>
      </c>
      <c r="B702" t="s">
        <v>6365</v>
      </c>
    </row>
    <row r="703" spans="1:2" x14ac:dyDescent="0.2">
      <c r="A703" t="s">
        <v>6366</v>
      </c>
      <c r="B703" t="s">
        <v>6367</v>
      </c>
    </row>
    <row r="704" spans="1:2" x14ac:dyDescent="0.2">
      <c r="A704" t="s">
        <v>6368</v>
      </c>
      <c r="B704" t="s">
        <v>6369</v>
      </c>
    </row>
    <row r="705" spans="1:2" x14ac:dyDescent="0.2">
      <c r="A705" t="s">
        <v>3406</v>
      </c>
      <c r="B705" t="s">
        <v>6370</v>
      </c>
    </row>
    <row r="706" spans="1:2" x14ac:dyDescent="0.2">
      <c r="A706" t="s">
        <v>6371</v>
      </c>
      <c r="B706" t="s">
        <v>6370</v>
      </c>
    </row>
    <row r="707" spans="1:2" x14ac:dyDescent="0.2">
      <c r="A707" t="s">
        <v>3409</v>
      </c>
      <c r="B707" t="s">
        <v>6372</v>
      </c>
    </row>
    <row r="708" spans="1:2" x14ac:dyDescent="0.2">
      <c r="A708" t="s">
        <v>6373</v>
      </c>
      <c r="B708" t="s">
        <v>6372</v>
      </c>
    </row>
    <row r="709" spans="1:2" x14ac:dyDescent="0.2">
      <c r="A709" t="s">
        <v>3412</v>
      </c>
      <c r="B709" t="s">
        <v>6374</v>
      </c>
    </row>
    <row r="710" spans="1:2" x14ac:dyDescent="0.2">
      <c r="A710" t="s">
        <v>6375</v>
      </c>
      <c r="B710" t="s">
        <v>6376</v>
      </c>
    </row>
    <row r="711" spans="1:2" x14ac:dyDescent="0.2">
      <c r="A711" t="s">
        <v>6377</v>
      </c>
      <c r="B711" t="s">
        <v>6378</v>
      </c>
    </row>
    <row r="712" spans="1:2" x14ac:dyDescent="0.2">
      <c r="A712" t="s">
        <v>3414</v>
      </c>
      <c r="B712" t="s">
        <v>6379</v>
      </c>
    </row>
    <row r="713" spans="1:2" x14ac:dyDescent="0.2">
      <c r="A713" t="s">
        <v>3416</v>
      </c>
      <c r="B713" t="s">
        <v>6380</v>
      </c>
    </row>
    <row r="714" spans="1:2" x14ac:dyDescent="0.2">
      <c r="A714" t="s">
        <v>3419</v>
      </c>
      <c r="B714" t="s">
        <v>6381</v>
      </c>
    </row>
    <row r="715" spans="1:2" x14ac:dyDescent="0.2">
      <c r="A715" t="s">
        <v>6382</v>
      </c>
      <c r="B715" t="s">
        <v>6381</v>
      </c>
    </row>
    <row r="716" spans="1:2" x14ac:dyDescent="0.2">
      <c r="A716" t="s">
        <v>3422</v>
      </c>
      <c r="B716" t="s">
        <v>6383</v>
      </c>
    </row>
    <row r="717" spans="1:2" x14ac:dyDescent="0.2">
      <c r="A717" t="s">
        <v>6384</v>
      </c>
      <c r="B717" t="s">
        <v>6383</v>
      </c>
    </row>
    <row r="718" spans="1:2" x14ac:dyDescent="0.2">
      <c r="A718" t="s">
        <v>3425</v>
      </c>
      <c r="B718" t="s">
        <v>6385</v>
      </c>
    </row>
    <row r="719" spans="1:2" x14ac:dyDescent="0.2">
      <c r="A719" t="s">
        <v>6386</v>
      </c>
      <c r="B719" t="s">
        <v>6385</v>
      </c>
    </row>
    <row r="720" spans="1:2" x14ac:dyDescent="0.2">
      <c r="A720" t="s">
        <v>3427</v>
      </c>
      <c r="B720" t="s">
        <v>6387</v>
      </c>
    </row>
    <row r="721" spans="1:2" x14ac:dyDescent="0.2">
      <c r="A721" t="s">
        <v>3430</v>
      </c>
      <c r="B721" t="s">
        <v>6387</v>
      </c>
    </row>
    <row r="722" spans="1:2" x14ac:dyDescent="0.2">
      <c r="A722" t="s">
        <v>6388</v>
      </c>
      <c r="B722" t="s">
        <v>6387</v>
      </c>
    </row>
    <row r="723" spans="1:2" x14ac:dyDescent="0.2">
      <c r="A723" t="s">
        <v>3431</v>
      </c>
      <c r="B723" t="s">
        <v>6389</v>
      </c>
    </row>
    <row r="724" spans="1:2" x14ac:dyDescent="0.2">
      <c r="A724" t="s">
        <v>3434</v>
      </c>
      <c r="B724" t="s">
        <v>6389</v>
      </c>
    </row>
    <row r="725" spans="1:2" x14ac:dyDescent="0.2">
      <c r="A725" t="s">
        <v>6390</v>
      </c>
      <c r="B725" t="s">
        <v>6389</v>
      </c>
    </row>
    <row r="726" spans="1:2" x14ac:dyDescent="0.2">
      <c r="A726" t="s">
        <v>3435</v>
      </c>
      <c r="B726" t="s">
        <v>6391</v>
      </c>
    </row>
    <row r="727" spans="1:2" x14ac:dyDescent="0.2">
      <c r="A727" t="s">
        <v>3438</v>
      </c>
      <c r="B727" t="s">
        <v>6391</v>
      </c>
    </row>
    <row r="728" spans="1:2" x14ac:dyDescent="0.2">
      <c r="A728" t="s">
        <v>6392</v>
      </c>
      <c r="B728" t="s">
        <v>6391</v>
      </c>
    </row>
    <row r="729" spans="1:2" x14ac:dyDescent="0.2">
      <c r="A729" t="s">
        <v>3439</v>
      </c>
      <c r="B729" t="s">
        <v>6393</v>
      </c>
    </row>
    <row r="730" spans="1:2" x14ac:dyDescent="0.2">
      <c r="A730" t="s">
        <v>3442</v>
      </c>
      <c r="B730" t="s">
        <v>6393</v>
      </c>
    </row>
    <row r="731" spans="1:2" x14ac:dyDescent="0.2">
      <c r="A731" t="s">
        <v>6394</v>
      </c>
      <c r="B731" t="s">
        <v>6395</v>
      </c>
    </row>
    <row r="732" spans="1:2" x14ac:dyDescent="0.2">
      <c r="A732" t="s">
        <v>6396</v>
      </c>
      <c r="B732" t="s">
        <v>6397</v>
      </c>
    </row>
    <row r="733" spans="1:2" x14ac:dyDescent="0.2">
      <c r="A733" t="s">
        <v>6398</v>
      </c>
      <c r="B733" t="s">
        <v>6399</v>
      </c>
    </row>
    <row r="734" spans="1:2" x14ac:dyDescent="0.2">
      <c r="A734" t="s">
        <v>3443</v>
      </c>
      <c r="B734" t="s">
        <v>6400</v>
      </c>
    </row>
    <row r="735" spans="1:2" x14ac:dyDescent="0.2">
      <c r="A735" t="s">
        <v>3446</v>
      </c>
      <c r="B735" t="s">
        <v>6401</v>
      </c>
    </row>
    <row r="736" spans="1:2" x14ac:dyDescent="0.2">
      <c r="A736" t="s">
        <v>6402</v>
      </c>
      <c r="B736" t="s">
        <v>6401</v>
      </c>
    </row>
    <row r="737" spans="1:2" x14ac:dyDescent="0.2">
      <c r="A737" t="s">
        <v>3449</v>
      </c>
      <c r="B737" t="s">
        <v>6403</v>
      </c>
    </row>
    <row r="738" spans="1:2" x14ac:dyDescent="0.2">
      <c r="A738" t="s">
        <v>6404</v>
      </c>
      <c r="B738" t="s">
        <v>6403</v>
      </c>
    </row>
    <row r="739" spans="1:2" x14ac:dyDescent="0.2">
      <c r="A739" t="s">
        <v>3451</v>
      </c>
      <c r="B739" t="s">
        <v>6405</v>
      </c>
    </row>
    <row r="740" spans="1:2" x14ac:dyDescent="0.2">
      <c r="A740" t="s">
        <v>3453</v>
      </c>
      <c r="B740" t="s">
        <v>6406</v>
      </c>
    </row>
    <row r="741" spans="1:2" x14ac:dyDescent="0.2">
      <c r="A741" t="s">
        <v>3456</v>
      </c>
      <c r="B741" t="s">
        <v>6407</v>
      </c>
    </row>
    <row r="742" spans="1:2" x14ac:dyDescent="0.2">
      <c r="A742" t="s">
        <v>6408</v>
      </c>
      <c r="B742" t="s">
        <v>6407</v>
      </c>
    </row>
    <row r="743" spans="1:2" x14ac:dyDescent="0.2">
      <c r="A743" t="s">
        <v>3459</v>
      </c>
      <c r="B743" t="s">
        <v>6409</v>
      </c>
    </row>
    <row r="744" spans="1:2" x14ac:dyDescent="0.2">
      <c r="A744" t="s">
        <v>6410</v>
      </c>
      <c r="B744" t="s">
        <v>6409</v>
      </c>
    </row>
    <row r="745" spans="1:2" x14ac:dyDescent="0.2">
      <c r="A745" t="s">
        <v>3462</v>
      </c>
      <c r="B745" t="s">
        <v>6411</v>
      </c>
    </row>
    <row r="746" spans="1:2" x14ac:dyDescent="0.2">
      <c r="A746" t="s">
        <v>6412</v>
      </c>
      <c r="B746" t="s">
        <v>6411</v>
      </c>
    </row>
    <row r="747" spans="1:2" x14ac:dyDescent="0.2">
      <c r="A747" t="s">
        <v>3465</v>
      </c>
      <c r="B747" t="s">
        <v>6413</v>
      </c>
    </row>
    <row r="748" spans="1:2" x14ac:dyDescent="0.2">
      <c r="A748" t="s">
        <v>6414</v>
      </c>
      <c r="B748" t="s">
        <v>6413</v>
      </c>
    </row>
    <row r="749" spans="1:2" x14ac:dyDescent="0.2">
      <c r="A749" t="s">
        <v>3468</v>
      </c>
      <c r="B749" t="s">
        <v>6415</v>
      </c>
    </row>
    <row r="750" spans="1:2" x14ac:dyDescent="0.2">
      <c r="A750" t="s">
        <v>6416</v>
      </c>
      <c r="B750" t="s">
        <v>6415</v>
      </c>
    </row>
    <row r="751" spans="1:2" x14ac:dyDescent="0.2">
      <c r="A751" t="s">
        <v>3471</v>
      </c>
      <c r="B751" t="s">
        <v>6417</v>
      </c>
    </row>
    <row r="752" spans="1:2" x14ac:dyDescent="0.2">
      <c r="A752" t="s">
        <v>6418</v>
      </c>
      <c r="B752" t="s">
        <v>6417</v>
      </c>
    </row>
    <row r="753" spans="1:2" x14ac:dyDescent="0.2">
      <c r="A753" t="s">
        <v>3474</v>
      </c>
      <c r="B753" t="s">
        <v>6419</v>
      </c>
    </row>
    <row r="754" spans="1:2" x14ac:dyDescent="0.2">
      <c r="A754" t="s">
        <v>6420</v>
      </c>
      <c r="B754" t="s">
        <v>6419</v>
      </c>
    </row>
    <row r="755" spans="1:2" x14ac:dyDescent="0.2">
      <c r="A755" t="s">
        <v>3477</v>
      </c>
      <c r="B755" t="s">
        <v>6421</v>
      </c>
    </row>
    <row r="756" spans="1:2" x14ac:dyDescent="0.2">
      <c r="A756" t="s">
        <v>6422</v>
      </c>
      <c r="B756" t="s">
        <v>6421</v>
      </c>
    </row>
    <row r="757" spans="1:2" x14ac:dyDescent="0.2">
      <c r="A757" t="s">
        <v>3479</v>
      </c>
      <c r="B757" t="s">
        <v>6423</v>
      </c>
    </row>
    <row r="758" spans="1:2" x14ac:dyDescent="0.2">
      <c r="A758" t="s">
        <v>3482</v>
      </c>
      <c r="B758" t="s">
        <v>6423</v>
      </c>
    </row>
    <row r="759" spans="1:2" x14ac:dyDescent="0.2">
      <c r="A759" t="s">
        <v>6424</v>
      </c>
      <c r="B759" t="s">
        <v>6423</v>
      </c>
    </row>
    <row r="760" spans="1:2" x14ac:dyDescent="0.2">
      <c r="A760" t="s">
        <v>3483</v>
      </c>
      <c r="B760" t="s">
        <v>6425</v>
      </c>
    </row>
    <row r="761" spans="1:2" x14ac:dyDescent="0.2">
      <c r="A761" t="s">
        <v>3485</v>
      </c>
      <c r="B761" t="s">
        <v>6425</v>
      </c>
    </row>
    <row r="762" spans="1:2" x14ac:dyDescent="0.2">
      <c r="A762" t="s">
        <v>3486</v>
      </c>
      <c r="B762" t="s">
        <v>6426</v>
      </c>
    </row>
    <row r="763" spans="1:2" x14ac:dyDescent="0.2">
      <c r="A763" t="s">
        <v>3489</v>
      </c>
      <c r="B763" t="s">
        <v>6427</v>
      </c>
    </row>
    <row r="764" spans="1:2" x14ac:dyDescent="0.2">
      <c r="A764" t="s">
        <v>6428</v>
      </c>
      <c r="B764" t="s">
        <v>6429</v>
      </c>
    </row>
    <row r="765" spans="1:2" x14ac:dyDescent="0.2">
      <c r="A765" t="s">
        <v>6430</v>
      </c>
      <c r="B765" t="s">
        <v>6431</v>
      </c>
    </row>
    <row r="766" spans="1:2" x14ac:dyDescent="0.2">
      <c r="A766" t="s">
        <v>6432</v>
      </c>
      <c r="B766" t="s">
        <v>6433</v>
      </c>
    </row>
    <row r="767" spans="1:2" x14ac:dyDescent="0.2">
      <c r="A767" t="s">
        <v>3492</v>
      </c>
      <c r="B767" t="s">
        <v>6434</v>
      </c>
    </row>
    <row r="768" spans="1:2" x14ac:dyDescent="0.2">
      <c r="A768" t="s">
        <v>6435</v>
      </c>
      <c r="B768" t="s">
        <v>6434</v>
      </c>
    </row>
    <row r="769" spans="1:2" x14ac:dyDescent="0.2">
      <c r="A769" t="s">
        <v>3495</v>
      </c>
      <c r="B769" t="s">
        <v>6436</v>
      </c>
    </row>
    <row r="770" spans="1:2" x14ac:dyDescent="0.2">
      <c r="A770" t="s">
        <v>6437</v>
      </c>
      <c r="B770" t="s">
        <v>6436</v>
      </c>
    </row>
    <row r="771" spans="1:2" x14ac:dyDescent="0.2">
      <c r="A771" t="s">
        <v>3498</v>
      </c>
      <c r="B771" t="s">
        <v>6438</v>
      </c>
    </row>
    <row r="772" spans="1:2" x14ac:dyDescent="0.2">
      <c r="A772" t="s">
        <v>6439</v>
      </c>
      <c r="B772" t="s">
        <v>6438</v>
      </c>
    </row>
    <row r="773" spans="1:2" x14ac:dyDescent="0.2">
      <c r="A773" t="s">
        <v>3500</v>
      </c>
      <c r="B773" t="s">
        <v>6440</v>
      </c>
    </row>
    <row r="774" spans="1:2" x14ac:dyDescent="0.2">
      <c r="A774" t="s">
        <v>3503</v>
      </c>
      <c r="B774" t="s">
        <v>6441</v>
      </c>
    </row>
    <row r="775" spans="1:2" x14ac:dyDescent="0.2">
      <c r="A775" t="s">
        <v>6442</v>
      </c>
      <c r="B775" t="s">
        <v>6443</v>
      </c>
    </row>
    <row r="776" spans="1:2" x14ac:dyDescent="0.2">
      <c r="A776" t="s">
        <v>6444</v>
      </c>
      <c r="B776" t="s">
        <v>6445</v>
      </c>
    </row>
    <row r="777" spans="1:2" x14ac:dyDescent="0.2">
      <c r="A777" t="s">
        <v>6446</v>
      </c>
      <c r="B777" t="s">
        <v>6447</v>
      </c>
    </row>
    <row r="778" spans="1:2" x14ac:dyDescent="0.2">
      <c r="A778" t="s">
        <v>3506</v>
      </c>
      <c r="B778" t="s">
        <v>6448</v>
      </c>
    </row>
    <row r="779" spans="1:2" x14ac:dyDescent="0.2">
      <c r="A779" t="s">
        <v>6449</v>
      </c>
      <c r="B779" t="s">
        <v>6448</v>
      </c>
    </row>
    <row r="780" spans="1:2" x14ac:dyDescent="0.2">
      <c r="A780" t="s">
        <v>3509</v>
      </c>
      <c r="B780" t="s">
        <v>6450</v>
      </c>
    </row>
    <row r="781" spans="1:2" x14ac:dyDescent="0.2">
      <c r="A781" t="s">
        <v>6451</v>
      </c>
      <c r="B781" t="s">
        <v>6450</v>
      </c>
    </row>
    <row r="782" spans="1:2" x14ac:dyDescent="0.2">
      <c r="A782" t="s">
        <v>3511</v>
      </c>
      <c r="B782" t="s">
        <v>6452</v>
      </c>
    </row>
    <row r="783" spans="1:2" x14ac:dyDescent="0.2">
      <c r="A783" t="s">
        <v>3514</v>
      </c>
      <c r="B783" t="s">
        <v>6452</v>
      </c>
    </row>
    <row r="784" spans="1:2" x14ac:dyDescent="0.2">
      <c r="A784" t="s">
        <v>6453</v>
      </c>
      <c r="B784" t="s">
        <v>6452</v>
      </c>
    </row>
    <row r="785" spans="1:2" x14ac:dyDescent="0.2">
      <c r="A785" t="s">
        <v>3515</v>
      </c>
      <c r="B785" t="s">
        <v>6454</v>
      </c>
    </row>
    <row r="786" spans="1:2" x14ac:dyDescent="0.2">
      <c r="A786" t="s">
        <v>3517</v>
      </c>
      <c r="B786" t="s">
        <v>6455</v>
      </c>
    </row>
    <row r="787" spans="1:2" x14ac:dyDescent="0.2">
      <c r="A787" t="s">
        <v>3519</v>
      </c>
      <c r="B787" t="s">
        <v>6455</v>
      </c>
    </row>
    <row r="788" spans="1:2" x14ac:dyDescent="0.2">
      <c r="A788" t="s">
        <v>3521</v>
      </c>
      <c r="B788" t="s">
        <v>6455</v>
      </c>
    </row>
    <row r="789" spans="1:2" x14ac:dyDescent="0.2">
      <c r="A789" t="s">
        <v>6456</v>
      </c>
      <c r="B789" t="s">
        <v>6457</v>
      </c>
    </row>
    <row r="790" spans="1:2" x14ac:dyDescent="0.2">
      <c r="A790" t="s">
        <v>6458</v>
      </c>
      <c r="B790" t="s">
        <v>6459</v>
      </c>
    </row>
    <row r="791" spans="1:2" x14ac:dyDescent="0.2">
      <c r="A791" t="s">
        <v>6460</v>
      </c>
      <c r="B791" t="s">
        <v>6461</v>
      </c>
    </row>
    <row r="792" spans="1:2" x14ac:dyDescent="0.2">
      <c r="A792" t="s">
        <v>3522</v>
      </c>
      <c r="B792" t="s">
        <v>6462</v>
      </c>
    </row>
    <row r="793" spans="1:2" x14ac:dyDescent="0.2">
      <c r="A793" t="s">
        <v>3524</v>
      </c>
      <c r="B793" t="s">
        <v>6462</v>
      </c>
    </row>
    <row r="794" spans="1:2" x14ac:dyDescent="0.2">
      <c r="A794" t="s">
        <v>3526</v>
      </c>
      <c r="B794" t="s">
        <v>6462</v>
      </c>
    </row>
    <row r="795" spans="1:2" x14ac:dyDescent="0.2">
      <c r="A795" t="s">
        <v>6463</v>
      </c>
      <c r="B795" t="s">
        <v>6464</v>
      </c>
    </row>
    <row r="796" spans="1:2" x14ac:dyDescent="0.2">
      <c r="A796" t="s">
        <v>6465</v>
      </c>
      <c r="B796" t="s">
        <v>6466</v>
      </c>
    </row>
    <row r="797" spans="1:2" x14ac:dyDescent="0.2">
      <c r="A797" t="s">
        <v>3527</v>
      </c>
      <c r="B797" t="s">
        <v>6467</v>
      </c>
    </row>
    <row r="798" spans="1:2" x14ac:dyDescent="0.2">
      <c r="A798" t="s">
        <v>3529</v>
      </c>
      <c r="B798" t="s">
        <v>6468</v>
      </c>
    </row>
    <row r="799" spans="1:2" x14ac:dyDescent="0.2">
      <c r="A799" t="s">
        <v>3532</v>
      </c>
      <c r="B799" t="s">
        <v>6469</v>
      </c>
    </row>
    <row r="800" spans="1:2" x14ac:dyDescent="0.2">
      <c r="A800" t="s">
        <v>6470</v>
      </c>
      <c r="B800" t="s">
        <v>6469</v>
      </c>
    </row>
    <row r="801" spans="1:2" x14ac:dyDescent="0.2">
      <c r="A801" t="s">
        <v>3535</v>
      </c>
      <c r="B801" t="s">
        <v>6471</v>
      </c>
    </row>
    <row r="802" spans="1:2" x14ac:dyDescent="0.2">
      <c r="A802" t="s">
        <v>6472</v>
      </c>
      <c r="B802" t="s">
        <v>6471</v>
      </c>
    </row>
    <row r="803" spans="1:2" x14ac:dyDescent="0.2">
      <c r="A803" t="s">
        <v>3537</v>
      </c>
      <c r="B803" t="s">
        <v>6473</v>
      </c>
    </row>
    <row r="804" spans="1:2" x14ac:dyDescent="0.2">
      <c r="A804" t="s">
        <v>3540</v>
      </c>
      <c r="B804" t="s">
        <v>6474</v>
      </c>
    </row>
    <row r="805" spans="1:2" x14ac:dyDescent="0.2">
      <c r="A805" t="s">
        <v>6475</v>
      </c>
      <c r="B805" t="s">
        <v>6474</v>
      </c>
    </row>
    <row r="806" spans="1:2" x14ac:dyDescent="0.2">
      <c r="A806" t="s">
        <v>3543</v>
      </c>
      <c r="B806" t="s">
        <v>6476</v>
      </c>
    </row>
    <row r="807" spans="1:2" x14ac:dyDescent="0.2">
      <c r="A807" t="s">
        <v>6477</v>
      </c>
      <c r="B807" t="s">
        <v>6476</v>
      </c>
    </row>
    <row r="808" spans="1:2" x14ac:dyDescent="0.2">
      <c r="A808" t="s">
        <v>3545</v>
      </c>
      <c r="B808" t="s">
        <v>6478</v>
      </c>
    </row>
    <row r="809" spans="1:2" x14ac:dyDescent="0.2">
      <c r="A809" t="s">
        <v>3548</v>
      </c>
      <c r="B809" t="s">
        <v>6479</v>
      </c>
    </row>
    <row r="810" spans="1:2" x14ac:dyDescent="0.2">
      <c r="A810" t="s">
        <v>6480</v>
      </c>
      <c r="B810" t="s">
        <v>6479</v>
      </c>
    </row>
    <row r="811" spans="1:2" x14ac:dyDescent="0.2">
      <c r="A811" t="s">
        <v>3551</v>
      </c>
      <c r="B811" t="s">
        <v>6481</v>
      </c>
    </row>
    <row r="812" spans="1:2" x14ac:dyDescent="0.2">
      <c r="A812" t="s">
        <v>6482</v>
      </c>
      <c r="B812" t="s">
        <v>6481</v>
      </c>
    </row>
    <row r="813" spans="1:2" x14ac:dyDescent="0.2">
      <c r="A813" t="s">
        <v>3553</v>
      </c>
      <c r="B813" t="s">
        <v>6483</v>
      </c>
    </row>
    <row r="814" spans="1:2" x14ac:dyDescent="0.2">
      <c r="A814" t="s">
        <v>3555</v>
      </c>
      <c r="B814" t="s">
        <v>6483</v>
      </c>
    </row>
    <row r="815" spans="1:2" x14ac:dyDescent="0.2">
      <c r="A815" t="s">
        <v>3557</v>
      </c>
      <c r="B815" t="s">
        <v>6483</v>
      </c>
    </row>
    <row r="816" spans="1:2" x14ac:dyDescent="0.2">
      <c r="A816" t="s">
        <v>6484</v>
      </c>
      <c r="B816" t="s">
        <v>6483</v>
      </c>
    </row>
    <row r="817" spans="1:2" x14ac:dyDescent="0.2">
      <c r="A817" t="s">
        <v>3558</v>
      </c>
      <c r="B817" t="s">
        <v>6485</v>
      </c>
    </row>
    <row r="818" spans="1:2" x14ac:dyDescent="0.2">
      <c r="A818" t="s">
        <v>3560</v>
      </c>
      <c r="B818" t="s">
        <v>6486</v>
      </c>
    </row>
    <row r="819" spans="1:2" x14ac:dyDescent="0.2">
      <c r="A819" t="s">
        <v>3562</v>
      </c>
      <c r="B819" t="s">
        <v>6487</v>
      </c>
    </row>
    <row r="820" spans="1:2" x14ac:dyDescent="0.2">
      <c r="A820" t="s">
        <v>3565</v>
      </c>
      <c r="B820" t="s">
        <v>6487</v>
      </c>
    </row>
    <row r="821" spans="1:2" x14ac:dyDescent="0.2">
      <c r="A821" t="s">
        <v>6488</v>
      </c>
      <c r="B821" t="s">
        <v>6489</v>
      </c>
    </row>
    <row r="822" spans="1:2" x14ac:dyDescent="0.2">
      <c r="A822" t="s">
        <v>6490</v>
      </c>
      <c r="B822" t="s">
        <v>6491</v>
      </c>
    </row>
    <row r="823" spans="1:2" x14ac:dyDescent="0.2">
      <c r="A823" t="s">
        <v>6492</v>
      </c>
      <c r="B823" t="s">
        <v>6493</v>
      </c>
    </row>
    <row r="824" spans="1:2" x14ac:dyDescent="0.2">
      <c r="A824" t="s">
        <v>3566</v>
      </c>
      <c r="B824" t="s">
        <v>6494</v>
      </c>
    </row>
    <row r="825" spans="1:2" x14ac:dyDescent="0.2">
      <c r="A825" t="s">
        <v>3569</v>
      </c>
      <c r="B825" t="s">
        <v>6494</v>
      </c>
    </row>
    <row r="826" spans="1:2" x14ac:dyDescent="0.2">
      <c r="A826" t="s">
        <v>6495</v>
      </c>
      <c r="B826" t="s">
        <v>6496</v>
      </c>
    </row>
    <row r="827" spans="1:2" x14ac:dyDescent="0.2">
      <c r="A827" t="s">
        <v>6497</v>
      </c>
      <c r="B827" t="s">
        <v>6498</v>
      </c>
    </row>
    <row r="828" spans="1:2" x14ac:dyDescent="0.2">
      <c r="A828" t="s">
        <v>3570</v>
      </c>
      <c r="B828" t="s">
        <v>6499</v>
      </c>
    </row>
    <row r="829" spans="1:2" x14ac:dyDescent="0.2">
      <c r="A829" t="s">
        <v>3572</v>
      </c>
      <c r="B829" t="s">
        <v>6500</v>
      </c>
    </row>
    <row r="830" spans="1:2" x14ac:dyDescent="0.2">
      <c r="A830" t="s">
        <v>3575</v>
      </c>
      <c r="B830" t="s">
        <v>6501</v>
      </c>
    </row>
    <row r="831" spans="1:2" x14ac:dyDescent="0.2">
      <c r="A831" t="s">
        <v>6502</v>
      </c>
      <c r="B831" t="s">
        <v>6501</v>
      </c>
    </row>
    <row r="832" spans="1:2" x14ac:dyDescent="0.2">
      <c r="A832" t="s">
        <v>3578</v>
      </c>
      <c r="B832" t="s">
        <v>6503</v>
      </c>
    </row>
    <row r="833" spans="1:2" x14ac:dyDescent="0.2">
      <c r="A833" t="s">
        <v>6504</v>
      </c>
      <c r="B833" t="s">
        <v>6503</v>
      </c>
    </row>
    <row r="834" spans="1:2" x14ac:dyDescent="0.2">
      <c r="A834" t="s">
        <v>3581</v>
      </c>
      <c r="B834" t="s">
        <v>6505</v>
      </c>
    </row>
    <row r="835" spans="1:2" x14ac:dyDescent="0.2">
      <c r="A835" t="s">
        <v>6506</v>
      </c>
      <c r="B835" t="s">
        <v>6505</v>
      </c>
    </row>
    <row r="836" spans="1:2" x14ac:dyDescent="0.2">
      <c r="A836" t="s">
        <v>3583</v>
      </c>
      <c r="B836" t="s">
        <v>6507</v>
      </c>
    </row>
    <row r="837" spans="1:2" x14ac:dyDescent="0.2">
      <c r="A837" t="s">
        <v>3586</v>
      </c>
      <c r="B837" t="s">
        <v>6508</v>
      </c>
    </row>
    <row r="838" spans="1:2" x14ac:dyDescent="0.2">
      <c r="A838" t="s">
        <v>6509</v>
      </c>
      <c r="B838" t="s">
        <v>6508</v>
      </c>
    </row>
    <row r="839" spans="1:2" x14ac:dyDescent="0.2">
      <c r="A839" t="s">
        <v>3589</v>
      </c>
      <c r="B839" t="s">
        <v>6510</v>
      </c>
    </row>
    <row r="840" spans="1:2" x14ac:dyDescent="0.2">
      <c r="A840" t="s">
        <v>6511</v>
      </c>
      <c r="B840" t="s">
        <v>6510</v>
      </c>
    </row>
    <row r="841" spans="1:2" x14ac:dyDescent="0.2">
      <c r="A841" t="s">
        <v>3591</v>
      </c>
      <c r="B841" t="s">
        <v>6512</v>
      </c>
    </row>
    <row r="842" spans="1:2" x14ac:dyDescent="0.2">
      <c r="A842" t="s">
        <v>3594</v>
      </c>
      <c r="B842" t="s">
        <v>6513</v>
      </c>
    </row>
    <row r="843" spans="1:2" x14ac:dyDescent="0.2">
      <c r="A843" t="s">
        <v>6514</v>
      </c>
      <c r="B843" t="s">
        <v>6513</v>
      </c>
    </row>
    <row r="844" spans="1:2" x14ac:dyDescent="0.2">
      <c r="A844" t="s">
        <v>3597</v>
      </c>
      <c r="B844" t="s">
        <v>6515</v>
      </c>
    </row>
    <row r="845" spans="1:2" x14ac:dyDescent="0.2">
      <c r="A845" t="s">
        <v>6516</v>
      </c>
      <c r="B845" t="s">
        <v>6515</v>
      </c>
    </row>
    <row r="846" spans="1:2" x14ac:dyDescent="0.2">
      <c r="A846" t="s">
        <v>3599</v>
      </c>
      <c r="B846" t="s">
        <v>6517</v>
      </c>
    </row>
    <row r="847" spans="1:2" x14ac:dyDescent="0.2">
      <c r="A847" t="s">
        <v>3601</v>
      </c>
      <c r="B847" t="s">
        <v>6518</v>
      </c>
    </row>
    <row r="848" spans="1:2" x14ac:dyDescent="0.2">
      <c r="A848" t="s">
        <v>3604</v>
      </c>
      <c r="B848" t="s">
        <v>6519</v>
      </c>
    </row>
    <row r="849" spans="1:2" x14ac:dyDescent="0.2">
      <c r="A849" t="s">
        <v>6520</v>
      </c>
      <c r="B849" t="s">
        <v>6519</v>
      </c>
    </row>
    <row r="850" spans="1:2" x14ac:dyDescent="0.2">
      <c r="A850" t="s">
        <v>3607</v>
      </c>
      <c r="B850" t="s">
        <v>6521</v>
      </c>
    </row>
    <row r="851" spans="1:2" x14ac:dyDescent="0.2">
      <c r="A851" t="s">
        <v>6522</v>
      </c>
      <c r="B851" t="s">
        <v>6521</v>
      </c>
    </row>
    <row r="852" spans="1:2" x14ac:dyDescent="0.2">
      <c r="A852" t="s">
        <v>3610</v>
      </c>
      <c r="B852" t="s">
        <v>6523</v>
      </c>
    </row>
    <row r="853" spans="1:2" x14ac:dyDescent="0.2">
      <c r="A853" t="s">
        <v>6524</v>
      </c>
      <c r="B853" t="s">
        <v>6523</v>
      </c>
    </row>
    <row r="854" spans="1:2" x14ac:dyDescent="0.2">
      <c r="A854" t="s">
        <v>3612</v>
      </c>
      <c r="B854" t="s">
        <v>6525</v>
      </c>
    </row>
    <row r="855" spans="1:2" x14ac:dyDescent="0.2">
      <c r="A855" t="s">
        <v>3615</v>
      </c>
      <c r="B855" t="s">
        <v>6526</v>
      </c>
    </row>
    <row r="856" spans="1:2" x14ac:dyDescent="0.2">
      <c r="A856" t="s">
        <v>6527</v>
      </c>
      <c r="B856" t="s">
        <v>6526</v>
      </c>
    </row>
    <row r="857" spans="1:2" x14ac:dyDescent="0.2">
      <c r="A857" t="s">
        <v>3618</v>
      </c>
      <c r="B857" t="s">
        <v>6528</v>
      </c>
    </row>
    <row r="858" spans="1:2" x14ac:dyDescent="0.2">
      <c r="A858" t="s">
        <v>6529</v>
      </c>
      <c r="B858" t="s">
        <v>6528</v>
      </c>
    </row>
    <row r="859" spans="1:2" x14ac:dyDescent="0.2">
      <c r="A859" t="s">
        <v>3621</v>
      </c>
      <c r="B859" t="s">
        <v>6530</v>
      </c>
    </row>
    <row r="860" spans="1:2" x14ac:dyDescent="0.2">
      <c r="A860" t="s">
        <v>6531</v>
      </c>
      <c r="B860" t="s">
        <v>6532</v>
      </c>
    </row>
    <row r="861" spans="1:2" x14ac:dyDescent="0.2">
      <c r="A861" t="s">
        <v>6533</v>
      </c>
      <c r="B861" t="s">
        <v>6534</v>
      </c>
    </row>
    <row r="862" spans="1:2" x14ac:dyDescent="0.2">
      <c r="A862" t="s">
        <v>3623</v>
      </c>
      <c r="B862" t="s">
        <v>6535</v>
      </c>
    </row>
    <row r="863" spans="1:2" x14ac:dyDescent="0.2">
      <c r="A863" t="s">
        <v>3626</v>
      </c>
      <c r="B863" t="s">
        <v>6536</v>
      </c>
    </row>
    <row r="864" spans="1:2" x14ac:dyDescent="0.2">
      <c r="A864" t="s">
        <v>6537</v>
      </c>
      <c r="B864" t="s">
        <v>6536</v>
      </c>
    </row>
    <row r="865" spans="1:2" x14ac:dyDescent="0.2">
      <c r="A865" t="s">
        <v>3629</v>
      </c>
      <c r="B865" t="s">
        <v>6538</v>
      </c>
    </row>
    <row r="866" spans="1:2" x14ac:dyDescent="0.2">
      <c r="A866" t="s">
        <v>6539</v>
      </c>
      <c r="B866" t="s">
        <v>6538</v>
      </c>
    </row>
    <row r="867" spans="1:2" x14ac:dyDescent="0.2">
      <c r="A867" t="s">
        <v>3632</v>
      </c>
      <c r="B867" t="s">
        <v>6540</v>
      </c>
    </row>
    <row r="868" spans="1:2" x14ac:dyDescent="0.2">
      <c r="A868" t="s">
        <v>6541</v>
      </c>
      <c r="B868" t="s">
        <v>6540</v>
      </c>
    </row>
    <row r="869" spans="1:2" x14ac:dyDescent="0.2">
      <c r="A869" t="s">
        <v>3635</v>
      </c>
      <c r="B869" t="s">
        <v>6542</v>
      </c>
    </row>
    <row r="870" spans="1:2" x14ac:dyDescent="0.2">
      <c r="A870" t="s">
        <v>6543</v>
      </c>
      <c r="B870" t="s">
        <v>6544</v>
      </c>
    </row>
    <row r="871" spans="1:2" x14ac:dyDescent="0.2">
      <c r="A871" t="s">
        <v>6545</v>
      </c>
      <c r="B871" t="s">
        <v>6546</v>
      </c>
    </row>
    <row r="872" spans="1:2" x14ac:dyDescent="0.2">
      <c r="A872" t="s">
        <v>3638</v>
      </c>
      <c r="B872" t="s">
        <v>6547</v>
      </c>
    </row>
    <row r="873" spans="1:2" x14ac:dyDescent="0.2">
      <c r="A873" t="s">
        <v>6548</v>
      </c>
      <c r="B873" t="s">
        <v>6547</v>
      </c>
    </row>
    <row r="874" spans="1:2" x14ac:dyDescent="0.2">
      <c r="A874" t="s">
        <v>3640</v>
      </c>
      <c r="B874" t="s">
        <v>6549</v>
      </c>
    </row>
    <row r="875" spans="1:2" x14ac:dyDescent="0.2">
      <c r="A875" t="s">
        <v>3643</v>
      </c>
      <c r="B875" t="s">
        <v>6550</v>
      </c>
    </row>
    <row r="876" spans="1:2" x14ac:dyDescent="0.2">
      <c r="A876" t="s">
        <v>6551</v>
      </c>
      <c r="B876" t="s">
        <v>6552</v>
      </c>
    </row>
    <row r="877" spans="1:2" x14ac:dyDescent="0.2">
      <c r="A877" t="s">
        <v>6553</v>
      </c>
      <c r="B877" t="s">
        <v>6554</v>
      </c>
    </row>
    <row r="878" spans="1:2" x14ac:dyDescent="0.2">
      <c r="A878" t="s">
        <v>3646</v>
      </c>
      <c r="B878" t="s">
        <v>6555</v>
      </c>
    </row>
    <row r="879" spans="1:2" x14ac:dyDescent="0.2">
      <c r="A879" t="s">
        <v>6556</v>
      </c>
      <c r="B879" t="s">
        <v>6557</v>
      </c>
    </row>
    <row r="880" spans="1:2" x14ac:dyDescent="0.2">
      <c r="A880" t="s">
        <v>6558</v>
      </c>
      <c r="B880" t="s">
        <v>6559</v>
      </c>
    </row>
    <row r="881" spans="1:2" x14ac:dyDescent="0.2">
      <c r="A881" t="s">
        <v>6560</v>
      </c>
      <c r="B881" t="s">
        <v>6561</v>
      </c>
    </row>
    <row r="882" spans="1:2" x14ac:dyDescent="0.2">
      <c r="A882" t="s">
        <v>3648</v>
      </c>
      <c r="B882" t="s">
        <v>6562</v>
      </c>
    </row>
    <row r="883" spans="1:2" x14ac:dyDescent="0.2">
      <c r="A883" t="s">
        <v>3650</v>
      </c>
      <c r="B883" t="s">
        <v>6563</v>
      </c>
    </row>
    <row r="884" spans="1:2" x14ac:dyDescent="0.2">
      <c r="A884" t="s">
        <v>3652</v>
      </c>
      <c r="B884" t="s">
        <v>6564</v>
      </c>
    </row>
    <row r="885" spans="1:2" x14ac:dyDescent="0.2">
      <c r="A885" t="s">
        <v>3655</v>
      </c>
      <c r="B885" t="s">
        <v>6565</v>
      </c>
    </row>
    <row r="886" spans="1:2" x14ac:dyDescent="0.2">
      <c r="A886" t="s">
        <v>6566</v>
      </c>
      <c r="B886" t="s">
        <v>6565</v>
      </c>
    </row>
    <row r="887" spans="1:2" x14ac:dyDescent="0.2">
      <c r="A887" t="s">
        <v>3658</v>
      </c>
      <c r="B887" t="s">
        <v>6567</v>
      </c>
    </row>
    <row r="888" spans="1:2" x14ac:dyDescent="0.2">
      <c r="A888" t="s">
        <v>6568</v>
      </c>
      <c r="B888" t="s">
        <v>6567</v>
      </c>
    </row>
    <row r="889" spans="1:2" x14ac:dyDescent="0.2">
      <c r="A889" t="s">
        <v>3660</v>
      </c>
      <c r="B889" t="s">
        <v>6569</v>
      </c>
    </row>
    <row r="890" spans="1:2" x14ac:dyDescent="0.2">
      <c r="A890" t="s">
        <v>3663</v>
      </c>
      <c r="B890" t="s">
        <v>6569</v>
      </c>
    </row>
    <row r="891" spans="1:2" x14ac:dyDescent="0.2">
      <c r="A891" t="s">
        <v>6570</v>
      </c>
      <c r="B891" t="s">
        <v>6571</v>
      </c>
    </row>
    <row r="892" spans="1:2" x14ac:dyDescent="0.2">
      <c r="A892" t="s">
        <v>6572</v>
      </c>
      <c r="B892" t="s">
        <v>6573</v>
      </c>
    </row>
    <row r="893" spans="1:2" x14ac:dyDescent="0.2">
      <c r="A893" t="s">
        <v>6574</v>
      </c>
      <c r="B893" t="s">
        <v>6575</v>
      </c>
    </row>
    <row r="894" spans="1:2" x14ac:dyDescent="0.2">
      <c r="A894" t="s">
        <v>6576</v>
      </c>
      <c r="B894" t="s">
        <v>6577</v>
      </c>
    </row>
    <row r="895" spans="1:2" x14ac:dyDescent="0.2">
      <c r="A895" t="s">
        <v>3664</v>
      </c>
      <c r="B895" t="s">
        <v>6578</v>
      </c>
    </row>
    <row r="896" spans="1:2" x14ac:dyDescent="0.2">
      <c r="A896" t="s">
        <v>3667</v>
      </c>
      <c r="B896" t="s">
        <v>6579</v>
      </c>
    </row>
    <row r="897" spans="1:2" x14ac:dyDescent="0.2">
      <c r="A897" t="s">
        <v>6580</v>
      </c>
      <c r="B897" t="s">
        <v>6579</v>
      </c>
    </row>
    <row r="898" spans="1:2" x14ac:dyDescent="0.2">
      <c r="A898" t="s">
        <v>3670</v>
      </c>
      <c r="B898" t="s">
        <v>6581</v>
      </c>
    </row>
    <row r="899" spans="1:2" x14ac:dyDescent="0.2">
      <c r="A899" t="s">
        <v>6582</v>
      </c>
      <c r="B899" t="s">
        <v>6581</v>
      </c>
    </row>
    <row r="900" spans="1:2" x14ac:dyDescent="0.2">
      <c r="A900" t="s">
        <v>3672</v>
      </c>
      <c r="B900" t="s">
        <v>6583</v>
      </c>
    </row>
    <row r="901" spans="1:2" x14ac:dyDescent="0.2">
      <c r="A901" t="s">
        <v>3675</v>
      </c>
      <c r="B901" t="s">
        <v>6583</v>
      </c>
    </row>
    <row r="902" spans="1:2" x14ac:dyDescent="0.2">
      <c r="A902" t="s">
        <v>6584</v>
      </c>
      <c r="B902" t="s">
        <v>6583</v>
      </c>
    </row>
    <row r="903" spans="1:2" x14ac:dyDescent="0.2">
      <c r="A903" t="s">
        <v>3676</v>
      </c>
      <c r="B903" t="s">
        <v>6585</v>
      </c>
    </row>
    <row r="904" spans="1:2" x14ac:dyDescent="0.2">
      <c r="A904" t="s">
        <v>3678</v>
      </c>
      <c r="B904" t="s">
        <v>6586</v>
      </c>
    </row>
    <row r="905" spans="1:2" x14ac:dyDescent="0.2">
      <c r="A905" t="s">
        <v>3681</v>
      </c>
      <c r="B905" t="s">
        <v>6587</v>
      </c>
    </row>
    <row r="906" spans="1:2" x14ac:dyDescent="0.2">
      <c r="A906" t="s">
        <v>6588</v>
      </c>
      <c r="B906" t="s">
        <v>6587</v>
      </c>
    </row>
    <row r="907" spans="1:2" x14ac:dyDescent="0.2">
      <c r="A907" t="s">
        <v>3684</v>
      </c>
      <c r="B907" t="s">
        <v>6589</v>
      </c>
    </row>
    <row r="908" spans="1:2" x14ac:dyDescent="0.2">
      <c r="A908" t="s">
        <v>6590</v>
      </c>
      <c r="B908" t="s">
        <v>6589</v>
      </c>
    </row>
    <row r="909" spans="1:2" x14ac:dyDescent="0.2">
      <c r="A909" t="s">
        <v>3687</v>
      </c>
      <c r="B909" t="s">
        <v>6591</v>
      </c>
    </row>
    <row r="910" spans="1:2" x14ac:dyDescent="0.2">
      <c r="A910" t="s">
        <v>6592</v>
      </c>
      <c r="B910" t="s">
        <v>6593</v>
      </c>
    </row>
    <row r="911" spans="1:2" x14ac:dyDescent="0.2">
      <c r="A911" t="s">
        <v>6594</v>
      </c>
      <c r="B911" t="s">
        <v>6595</v>
      </c>
    </row>
    <row r="912" spans="1:2" x14ac:dyDescent="0.2">
      <c r="A912" t="s">
        <v>3690</v>
      </c>
      <c r="B912" t="s">
        <v>6596</v>
      </c>
    </row>
    <row r="913" spans="1:2" x14ac:dyDescent="0.2">
      <c r="A913" t="s">
        <v>6597</v>
      </c>
      <c r="B913" t="s">
        <v>6598</v>
      </c>
    </row>
    <row r="914" spans="1:2" x14ac:dyDescent="0.2">
      <c r="A914" t="s">
        <v>6599</v>
      </c>
      <c r="B914" t="s">
        <v>6600</v>
      </c>
    </row>
    <row r="915" spans="1:2" x14ac:dyDescent="0.2">
      <c r="A915" t="s">
        <v>6601</v>
      </c>
      <c r="B915" t="s">
        <v>6602</v>
      </c>
    </row>
    <row r="916" spans="1:2" x14ac:dyDescent="0.2">
      <c r="A916" t="s">
        <v>6603</v>
      </c>
      <c r="B916" t="s">
        <v>6604</v>
      </c>
    </row>
    <row r="917" spans="1:2" x14ac:dyDescent="0.2">
      <c r="A917" t="s">
        <v>6605</v>
      </c>
      <c r="B917" t="s">
        <v>6606</v>
      </c>
    </row>
    <row r="918" spans="1:2" x14ac:dyDescent="0.2">
      <c r="A918" t="s">
        <v>6607</v>
      </c>
      <c r="B918" t="s">
        <v>6608</v>
      </c>
    </row>
    <row r="919" spans="1:2" x14ac:dyDescent="0.2">
      <c r="A919" t="s">
        <v>6609</v>
      </c>
      <c r="B919" t="s">
        <v>6610</v>
      </c>
    </row>
    <row r="920" spans="1:2" x14ac:dyDescent="0.2">
      <c r="A920" t="s">
        <v>6611</v>
      </c>
      <c r="B920" t="s">
        <v>6612</v>
      </c>
    </row>
    <row r="921" spans="1:2" x14ac:dyDescent="0.2">
      <c r="A921" t="s">
        <v>3693</v>
      </c>
      <c r="B921" t="s">
        <v>6613</v>
      </c>
    </row>
    <row r="922" spans="1:2" x14ac:dyDescent="0.2">
      <c r="A922" t="s">
        <v>6614</v>
      </c>
      <c r="B922" t="s">
        <v>6615</v>
      </c>
    </row>
    <row r="923" spans="1:2" x14ac:dyDescent="0.2">
      <c r="A923" t="s">
        <v>6616</v>
      </c>
      <c r="B923" t="s">
        <v>6617</v>
      </c>
    </row>
    <row r="924" spans="1:2" x14ac:dyDescent="0.2">
      <c r="A924" t="s">
        <v>6618</v>
      </c>
      <c r="B924" t="s">
        <v>6619</v>
      </c>
    </row>
    <row r="925" spans="1:2" x14ac:dyDescent="0.2">
      <c r="A925" t="s">
        <v>6620</v>
      </c>
      <c r="B925" t="s">
        <v>6621</v>
      </c>
    </row>
    <row r="926" spans="1:2" x14ac:dyDescent="0.2">
      <c r="A926" t="s">
        <v>6622</v>
      </c>
      <c r="B926" t="s">
        <v>6623</v>
      </c>
    </row>
    <row r="927" spans="1:2" x14ac:dyDescent="0.2">
      <c r="A927" t="s">
        <v>3696</v>
      </c>
      <c r="B927" t="s">
        <v>6624</v>
      </c>
    </row>
    <row r="928" spans="1:2" x14ac:dyDescent="0.2">
      <c r="A928" t="s">
        <v>6625</v>
      </c>
      <c r="B928" t="s">
        <v>6626</v>
      </c>
    </row>
    <row r="929" spans="1:2" x14ac:dyDescent="0.2">
      <c r="A929" t="s">
        <v>6627</v>
      </c>
      <c r="B929" t="s">
        <v>6628</v>
      </c>
    </row>
    <row r="930" spans="1:2" x14ac:dyDescent="0.2">
      <c r="A930" t="s">
        <v>6629</v>
      </c>
      <c r="B930" t="s">
        <v>6630</v>
      </c>
    </row>
    <row r="931" spans="1:2" x14ac:dyDescent="0.2">
      <c r="A931" t="s">
        <v>6631</v>
      </c>
      <c r="B931" t="s">
        <v>6632</v>
      </c>
    </row>
    <row r="932" spans="1:2" x14ac:dyDescent="0.2">
      <c r="A932" t="s">
        <v>6633</v>
      </c>
      <c r="B932" t="s">
        <v>6634</v>
      </c>
    </row>
    <row r="933" spans="1:2" x14ac:dyDescent="0.2">
      <c r="A933" t="s">
        <v>3699</v>
      </c>
      <c r="B933" t="s">
        <v>6635</v>
      </c>
    </row>
    <row r="934" spans="1:2" x14ac:dyDescent="0.2">
      <c r="A934" t="s">
        <v>6636</v>
      </c>
      <c r="B934" t="s">
        <v>6637</v>
      </c>
    </row>
    <row r="935" spans="1:2" x14ac:dyDescent="0.2">
      <c r="A935" t="s">
        <v>6638</v>
      </c>
      <c r="B935" t="s">
        <v>6639</v>
      </c>
    </row>
    <row r="936" spans="1:2" x14ac:dyDescent="0.2">
      <c r="A936" t="s">
        <v>6640</v>
      </c>
      <c r="B936" t="s">
        <v>6641</v>
      </c>
    </row>
    <row r="937" spans="1:2" x14ac:dyDescent="0.2">
      <c r="A937" t="s">
        <v>3702</v>
      </c>
      <c r="B937" t="s">
        <v>6642</v>
      </c>
    </row>
    <row r="938" spans="1:2" x14ac:dyDescent="0.2">
      <c r="A938" t="s">
        <v>6643</v>
      </c>
      <c r="B938" t="s">
        <v>6644</v>
      </c>
    </row>
    <row r="939" spans="1:2" x14ac:dyDescent="0.2">
      <c r="A939" t="s">
        <v>6645</v>
      </c>
      <c r="B939" t="s">
        <v>6646</v>
      </c>
    </row>
    <row r="940" spans="1:2" x14ac:dyDescent="0.2">
      <c r="A940" t="s">
        <v>6647</v>
      </c>
      <c r="B940" t="s">
        <v>6648</v>
      </c>
    </row>
    <row r="941" spans="1:2" x14ac:dyDescent="0.2">
      <c r="A941" t="s">
        <v>6649</v>
      </c>
      <c r="B941" t="s">
        <v>6650</v>
      </c>
    </row>
    <row r="942" spans="1:2" x14ac:dyDescent="0.2">
      <c r="A942" t="s">
        <v>6651</v>
      </c>
      <c r="B942" t="s">
        <v>6652</v>
      </c>
    </row>
    <row r="943" spans="1:2" x14ac:dyDescent="0.2">
      <c r="A943" t="s">
        <v>6653</v>
      </c>
      <c r="B943" t="s">
        <v>6654</v>
      </c>
    </row>
    <row r="944" spans="1:2" x14ac:dyDescent="0.2">
      <c r="A944" t="s">
        <v>6655</v>
      </c>
      <c r="B944" t="s">
        <v>6656</v>
      </c>
    </row>
    <row r="945" spans="1:2" x14ac:dyDescent="0.2">
      <c r="A945" t="s">
        <v>6657</v>
      </c>
      <c r="B945" t="s">
        <v>6658</v>
      </c>
    </row>
    <row r="946" spans="1:2" x14ac:dyDescent="0.2">
      <c r="A946" t="s">
        <v>3705</v>
      </c>
      <c r="B946" t="s">
        <v>6659</v>
      </c>
    </row>
    <row r="947" spans="1:2" x14ac:dyDescent="0.2">
      <c r="A947" t="s">
        <v>6660</v>
      </c>
      <c r="B947" t="s">
        <v>6659</v>
      </c>
    </row>
    <row r="948" spans="1:2" x14ac:dyDescent="0.2">
      <c r="A948" t="s">
        <v>3707</v>
      </c>
      <c r="B948" t="s">
        <v>6661</v>
      </c>
    </row>
    <row r="949" spans="1:2" x14ac:dyDescent="0.2">
      <c r="A949" t="s">
        <v>3710</v>
      </c>
      <c r="B949" t="s">
        <v>6662</v>
      </c>
    </row>
    <row r="950" spans="1:2" x14ac:dyDescent="0.2">
      <c r="A950" t="s">
        <v>6663</v>
      </c>
      <c r="B950" t="s">
        <v>6662</v>
      </c>
    </row>
    <row r="951" spans="1:2" x14ac:dyDescent="0.2">
      <c r="A951" t="s">
        <v>3713</v>
      </c>
      <c r="B951" t="s">
        <v>6664</v>
      </c>
    </row>
    <row r="952" spans="1:2" x14ac:dyDescent="0.2">
      <c r="A952" t="s">
        <v>6665</v>
      </c>
      <c r="B952" t="s">
        <v>6664</v>
      </c>
    </row>
    <row r="953" spans="1:2" x14ac:dyDescent="0.2">
      <c r="A953" t="s">
        <v>3716</v>
      </c>
      <c r="B953" t="s">
        <v>6666</v>
      </c>
    </row>
    <row r="954" spans="1:2" x14ac:dyDescent="0.2">
      <c r="A954" t="s">
        <v>6667</v>
      </c>
      <c r="B954" t="s">
        <v>6666</v>
      </c>
    </row>
    <row r="955" spans="1:2" x14ac:dyDescent="0.2">
      <c r="A955" t="s">
        <v>3719</v>
      </c>
      <c r="B955" t="s">
        <v>6668</v>
      </c>
    </row>
    <row r="956" spans="1:2" x14ac:dyDescent="0.2">
      <c r="A956" t="s">
        <v>6669</v>
      </c>
      <c r="B956" t="s">
        <v>6668</v>
      </c>
    </row>
    <row r="957" spans="1:2" x14ac:dyDescent="0.2">
      <c r="A957" t="s">
        <v>3721</v>
      </c>
      <c r="B957" t="s">
        <v>6670</v>
      </c>
    </row>
    <row r="958" spans="1:2" x14ac:dyDescent="0.2">
      <c r="A958" t="s">
        <v>3724</v>
      </c>
      <c r="B958" t="s">
        <v>6671</v>
      </c>
    </row>
    <row r="959" spans="1:2" x14ac:dyDescent="0.2">
      <c r="A959" t="s">
        <v>6672</v>
      </c>
      <c r="B959" t="s">
        <v>6671</v>
      </c>
    </row>
    <row r="960" spans="1:2" x14ac:dyDescent="0.2">
      <c r="A960" t="s">
        <v>3727</v>
      </c>
      <c r="B960" t="s">
        <v>6673</v>
      </c>
    </row>
    <row r="961" spans="1:2" x14ac:dyDescent="0.2">
      <c r="A961" t="s">
        <v>6674</v>
      </c>
      <c r="B961" t="s">
        <v>6673</v>
      </c>
    </row>
    <row r="962" spans="1:2" x14ac:dyDescent="0.2">
      <c r="A962" t="s">
        <v>3730</v>
      </c>
      <c r="B962" t="s">
        <v>6675</v>
      </c>
    </row>
    <row r="963" spans="1:2" x14ac:dyDescent="0.2">
      <c r="A963" t="s">
        <v>6676</v>
      </c>
      <c r="B963" t="s">
        <v>6675</v>
      </c>
    </row>
    <row r="964" spans="1:2" x14ac:dyDescent="0.2">
      <c r="A964" t="s">
        <v>3733</v>
      </c>
      <c r="B964" t="s">
        <v>6677</v>
      </c>
    </row>
    <row r="965" spans="1:2" x14ac:dyDescent="0.2">
      <c r="A965" t="s">
        <v>6678</v>
      </c>
      <c r="B965" t="s">
        <v>6677</v>
      </c>
    </row>
    <row r="966" spans="1:2" x14ac:dyDescent="0.2">
      <c r="A966" t="s">
        <v>3736</v>
      </c>
      <c r="B966" t="s">
        <v>6679</v>
      </c>
    </row>
    <row r="967" spans="1:2" x14ac:dyDescent="0.2">
      <c r="A967" t="s">
        <v>6680</v>
      </c>
      <c r="B967" t="s">
        <v>6679</v>
      </c>
    </row>
    <row r="968" spans="1:2" x14ac:dyDescent="0.2">
      <c r="A968" t="s">
        <v>3739</v>
      </c>
      <c r="B968" t="s">
        <v>6681</v>
      </c>
    </row>
    <row r="969" spans="1:2" x14ac:dyDescent="0.2">
      <c r="A969" t="s">
        <v>6682</v>
      </c>
      <c r="B969" t="s">
        <v>6681</v>
      </c>
    </row>
    <row r="970" spans="1:2" x14ac:dyDescent="0.2">
      <c r="A970" t="s">
        <v>3742</v>
      </c>
      <c r="B970" t="s">
        <v>6683</v>
      </c>
    </row>
    <row r="971" spans="1:2" x14ac:dyDescent="0.2">
      <c r="A971" t="s">
        <v>6684</v>
      </c>
      <c r="B971" t="s">
        <v>6683</v>
      </c>
    </row>
    <row r="972" spans="1:2" x14ac:dyDescent="0.2">
      <c r="A972" t="s">
        <v>3745</v>
      </c>
      <c r="B972" t="s">
        <v>6685</v>
      </c>
    </row>
    <row r="973" spans="1:2" x14ac:dyDescent="0.2">
      <c r="A973" t="s">
        <v>6686</v>
      </c>
      <c r="B973" t="s">
        <v>6687</v>
      </c>
    </row>
    <row r="974" spans="1:2" x14ac:dyDescent="0.2">
      <c r="A974" t="s">
        <v>6688</v>
      </c>
      <c r="B974" t="s">
        <v>6689</v>
      </c>
    </row>
    <row r="975" spans="1:2" x14ac:dyDescent="0.2">
      <c r="A975" t="s">
        <v>6690</v>
      </c>
      <c r="B975" t="s">
        <v>6691</v>
      </c>
    </row>
    <row r="976" spans="1:2" x14ac:dyDescent="0.2">
      <c r="A976" t="s">
        <v>3748</v>
      </c>
      <c r="B976" t="s">
        <v>6692</v>
      </c>
    </row>
    <row r="977" spans="1:2" x14ac:dyDescent="0.2">
      <c r="A977" t="s">
        <v>6693</v>
      </c>
      <c r="B977" t="s">
        <v>6694</v>
      </c>
    </row>
    <row r="978" spans="1:2" x14ac:dyDescent="0.2">
      <c r="A978" t="s">
        <v>6695</v>
      </c>
      <c r="B978" t="s">
        <v>6696</v>
      </c>
    </row>
    <row r="979" spans="1:2" x14ac:dyDescent="0.2">
      <c r="A979" t="s">
        <v>3750</v>
      </c>
      <c r="B979" t="s">
        <v>6697</v>
      </c>
    </row>
    <row r="980" spans="1:2" x14ac:dyDescent="0.2">
      <c r="A980" t="s">
        <v>3753</v>
      </c>
      <c r="B980" t="s">
        <v>6698</v>
      </c>
    </row>
    <row r="981" spans="1:2" x14ac:dyDescent="0.2">
      <c r="A981" t="s">
        <v>6699</v>
      </c>
      <c r="B981" t="s">
        <v>6698</v>
      </c>
    </row>
    <row r="982" spans="1:2" x14ac:dyDescent="0.2">
      <c r="A982" t="s">
        <v>3756</v>
      </c>
      <c r="B982" t="s">
        <v>6700</v>
      </c>
    </row>
    <row r="983" spans="1:2" x14ac:dyDescent="0.2">
      <c r="A983" t="s">
        <v>6701</v>
      </c>
      <c r="B983" t="s">
        <v>6702</v>
      </c>
    </row>
    <row r="984" spans="1:2" x14ac:dyDescent="0.2">
      <c r="A984" t="s">
        <v>6703</v>
      </c>
      <c r="B984" t="s">
        <v>6704</v>
      </c>
    </row>
    <row r="985" spans="1:2" x14ac:dyDescent="0.2">
      <c r="A985" t="s">
        <v>3759</v>
      </c>
      <c r="B985" t="s">
        <v>6705</v>
      </c>
    </row>
    <row r="986" spans="1:2" x14ac:dyDescent="0.2">
      <c r="A986" t="s">
        <v>6706</v>
      </c>
      <c r="B986" t="s">
        <v>6707</v>
      </c>
    </row>
    <row r="987" spans="1:2" x14ac:dyDescent="0.2">
      <c r="A987" t="s">
        <v>6708</v>
      </c>
      <c r="B987" t="s">
        <v>6709</v>
      </c>
    </row>
    <row r="988" spans="1:2" x14ac:dyDescent="0.2">
      <c r="A988" t="s">
        <v>6710</v>
      </c>
      <c r="B988" t="s">
        <v>6711</v>
      </c>
    </row>
    <row r="989" spans="1:2" x14ac:dyDescent="0.2">
      <c r="A989" t="s">
        <v>3762</v>
      </c>
      <c r="B989" t="s">
        <v>6712</v>
      </c>
    </row>
    <row r="990" spans="1:2" x14ac:dyDescent="0.2">
      <c r="A990" t="s">
        <v>6713</v>
      </c>
      <c r="B990" t="s">
        <v>6714</v>
      </c>
    </row>
    <row r="991" spans="1:2" x14ac:dyDescent="0.2">
      <c r="A991" t="s">
        <v>6715</v>
      </c>
      <c r="B991" t="s">
        <v>6716</v>
      </c>
    </row>
    <row r="992" spans="1:2" x14ac:dyDescent="0.2">
      <c r="A992" t="s">
        <v>3765</v>
      </c>
      <c r="B992" t="s">
        <v>6717</v>
      </c>
    </row>
    <row r="993" spans="1:2" x14ac:dyDescent="0.2">
      <c r="A993" t="s">
        <v>6718</v>
      </c>
      <c r="B993" t="s">
        <v>6717</v>
      </c>
    </row>
    <row r="994" spans="1:2" x14ac:dyDescent="0.2">
      <c r="A994" t="s">
        <v>3768</v>
      </c>
      <c r="B994" t="s">
        <v>6719</v>
      </c>
    </row>
    <row r="995" spans="1:2" x14ac:dyDescent="0.2">
      <c r="A995" t="s">
        <v>6720</v>
      </c>
      <c r="B995" t="s">
        <v>6721</v>
      </c>
    </row>
    <row r="996" spans="1:2" x14ac:dyDescent="0.2">
      <c r="A996" t="s">
        <v>6722</v>
      </c>
      <c r="B996" t="s">
        <v>6723</v>
      </c>
    </row>
    <row r="997" spans="1:2" x14ac:dyDescent="0.2">
      <c r="A997" t="s">
        <v>3771</v>
      </c>
      <c r="B997" t="s">
        <v>6724</v>
      </c>
    </row>
    <row r="998" spans="1:2" x14ac:dyDescent="0.2">
      <c r="A998" t="s">
        <v>6725</v>
      </c>
      <c r="B998" t="s">
        <v>6724</v>
      </c>
    </row>
    <row r="999" spans="1:2" x14ac:dyDescent="0.2">
      <c r="A999" t="s">
        <v>3774</v>
      </c>
      <c r="B999" t="s">
        <v>6726</v>
      </c>
    </row>
    <row r="1000" spans="1:2" x14ac:dyDescent="0.2">
      <c r="A1000" t="s">
        <v>6727</v>
      </c>
      <c r="B1000" t="s">
        <v>6726</v>
      </c>
    </row>
    <row r="1001" spans="1:2" x14ac:dyDescent="0.2">
      <c r="A1001" t="s">
        <v>3777</v>
      </c>
      <c r="B1001" t="s">
        <v>6728</v>
      </c>
    </row>
    <row r="1002" spans="1:2" x14ac:dyDescent="0.2">
      <c r="A1002" t="s">
        <v>6729</v>
      </c>
      <c r="B1002" t="s">
        <v>6730</v>
      </c>
    </row>
    <row r="1003" spans="1:2" x14ac:dyDescent="0.2">
      <c r="A1003" t="s">
        <v>6731</v>
      </c>
      <c r="B1003" t="s">
        <v>6732</v>
      </c>
    </row>
    <row r="1004" spans="1:2" x14ac:dyDescent="0.2">
      <c r="A1004" t="s">
        <v>6733</v>
      </c>
      <c r="B1004" t="s">
        <v>6734</v>
      </c>
    </row>
    <row r="1005" spans="1:2" x14ac:dyDescent="0.2">
      <c r="A1005" t="s">
        <v>6735</v>
      </c>
      <c r="B1005" t="s">
        <v>6736</v>
      </c>
    </row>
    <row r="1006" spans="1:2" x14ac:dyDescent="0.2">
      <c r="A1006" t="s">
        <v>6737</v>
      </c>
      <c r="B1006" t="s">
        <v>6738</v>
      </c>
    </row>
    <row r="1007" spans="1:2" x14ac:dyDescent="0.2">
      <c r="A1007" t="s">
        <v>3779</v>
      </c>
      <c r="B1007" t="s">
        <v>6739</v>
      </c>
    </row>
    <row r="1008" spans="1:2" x14ac:dyDescent="0.2">
      <c r="A1008" t="s">
        <v>3782</v>
      </c>
      <c r="B1008" t="s">
        <v>6740</v>
      </c>
    </row>
    <row r="1009" spans="1:2" x14ac:dyDescent="0.2">
      <c r="A1009" t="s">
        <v>6741</v>
      </c>
      <c r="B1009" t="s">
        <v>6740</v>
      </c>
    </row>
    <row r="1010" spans="1:2" x14ac:dyDescent="0.2">
      <c r="A1010" t="s">
        <v>3785</v>
      </c>
      <c r="B1010" t="s">
        <v>6742</v>
      </c>
    </row>
    <row r="1011" spans="1:2" x14ac:dyDescent="0.2">
      <c r="A1011" t="s">
        <v>6743</v>
      </c>
      <c r="B1011" t="s">
        <v>6742</v>
      </c>
    </row>
    <row r="1012" spans="1:2" x14ac:dyDescent="0.2">
      <c r="A1012" t="s">
        <v>3787</v>
      </c>
      <c r="B1012" t="s">
        <v>6744</v>
      </c>
    </row>
    <row r="1013" spans="1:2" x14ac:dyDescent="0.2">
      <c r="A1013" t="s">
        <v>3790</v>
      </c>
      <c r="B1013" t="s">
        <v>6745</v>
      </c>
    </row>
    <row r="1014" spans="1:2" x14ac:dyDescent="0.2">
      <c r="A1014" t="s">
        <v>6746</v>
      </c>
      <c r="B1014" t="s">
        <v>6745</v>
      </c>
    </row>
    <row r="1015" spans="1:2" x14ac:dyDescent="0.2">
      <c r="A1015" t="s">
        <v>3793</v>
      </c>
      <c r="B1015" t="s">
        <v>6747</v>
      </c>
    </row>
    <row r="1016" spans="1:2" x14ac:dyDescent="0.2">
      <c r="A1016" t="s">
        <v>6748</v>
      </c>
      <c r="B1016" t="s">
        <v>6747</v>
      </c>
    </row>
    <row r="1017" spans="1:2" x14ac:dyDescent="0.2">
      <c r="A1017" t="s">
        <v>3796</v>
      </c>
      <c r="B1017" t="s">
        <v>6749</v>
      </c>
    </row>
    <row r="1018" spans="1:2" x14ac:dyDescent="0.2">
      <c r="A1018" t="s">
        <v>6750</v>
      </c>
      <c r="B1018" t="s">
        <v>6749</v>
      </c>
    </row>
    <row r="1019" spans="1:2" x14ac:dyDescent="0.2">
      <c r="A1019" t="s">
        <v>3799</v>
      </c>
      <c r="B1019" t="s">
        <v>6751</v>
      </c>
    </row>
    <row r="1020" spans="1:2" x14ac:dyDescent="0.2">
      <c r="A1020" t="s">
        <v>6752</v>
      </c>
      <c r="B1020" t="s">
        <v>6751</v>
      </c>
    </row>
    <row r="1021" spans="1:2" x14ac:dyDescent="0.2">
      <c r="A1021" t="s">
        <v>3802</v>
      </c>
      <c r="B1021" t="s">
        <v>6753</v>
      </c>
    </row>
    <row r="1022" spans="1:2" x14ac:dyDescent="0.2">
      <c r="A1022" t="s">
        <v>6754</v>
      </c>
      <c r="B1022" t="s">
        <v>6753</v>
      </c>
    </row>
    <row r="1023" spans="1:2" x14ac:dyDescent="0.2">
      <c r="A1023" t="s">
        <v>3805</v>
      </c>
      <c r="B1023" t="s">
        <v>6755</v>
      </c>
    </row>
    <row r="1024" spans="1:2" x14ac:dyDescent="0.2">
      <c r="A1024" t="s">
        <v>6756</v>
      </c>
      <c r="B1024" t="s">
        <v>6755</v>
      </c>
    </row>
    <row r="1025" spans="1:2" x14ac:dyDescent="0.2">
      <c r="A1025" t="s">
        <v>3808</v>
      </c>
      <c r="B1025" t="s">
        <v>6757</v>
      </c>
    </row>
    <row r="1026" spans="1:2" x14ac:dyDescent="0.2">
      <c r="A1026" t="s">
        <v>6758</v>
      </c>
      <c r="B1026" t="s">
        <v>6759</v>
      </c>
    </row>
    <row r="1027" spans="1:2" x14ac:dyDescent="0.2">
      <c r="A1027" t="s">
        <v>6760</v>
      </c>
      <c r="B1027" t="s">
        <v>6761</v>
      </c>
    </row>
    <row r="1028" spans="1:2" x14ac:dyDescent="0.2">
      <c r="A1028" t="s">
        <v>6762</v>
      </c>
      <c r="B1028" t="s">
        <v>6763</v>
      </c>
    </row>
    <row r="1029" spans="1:2" x14ac:dyDescent="0.2">
      <c r="A1029" t="s">
        <v>3810</v>
      </c>
      <c r="B1029" t="s">
        <v>6764</v>
      </c>
    </row>
    <row r="1030" spans="1:2" x14ac:dyDescent="0.2">
      <c r="A1030" t="s">
        <v>3813</v>
      </c>
      <c r="B1030" t="s">
        <v>6765</v>
      </c>
    </row>
    <row r="1031" spans="1:2" x14ac:dyDescent="0.2">
      <c r="A1031" t="s">
        <v>6766</v>
      </c>
      <c r="B1031" t="s">
        <v>6767</v>
      </c>
    </row>
    <row r="1032" spans="1:2" x14ac:dyDescent="0.2">
      <c r="A1032" t="s">
        <v>6768</v>
      </c>
      <c r="B1032" t="s">
        <v>6769</v>
      </c>
    </row>
    <row r="1033" spans="1:2" x14ac:dyDescent="0.2">
      <c r="A1033" t="s">
        <v>3816</v>
      </c>
      <c r="B1033" t="s">
        <v>6770</v>
      </c>
    </row>
    <row r="1034" spans="1:2" x14ac:dyDescent="0.2">
      <c r="A1034" t="s">
        <v>6771</v>
      </c>
      <c r="B1034" t="s">
        <v>6772</v>
      </c>
    </row>
    <row r="1035" spans="1:2" x14ac:dyDescent="0.2">
      <c r="A1035" t="s">
        <v>6773</v>
      </c>
      <c r="B1035" t="s">
        <v>6774</v>
      </c>
    </row>
    <row r="1036" spans="1:2" x14ac:dyDescent="0.2">
      <c r="A1036" t="s">
        <v>3819</v>
      </c>
      <c r="B1036" t="s">
        <v>6775</v>
      </c>
    </row>
    <row r="1037" spans="1:2" x14ac:dyDescent="0.2">
      <c r="A1037" t="s">
        <v>6776</v>
      </c>
      <c r="B1037" t="s">
        <v>6777</v>
      </c>
    </row>
    <row r="1038" spans="1:2" x14ac:dyDescent="0.2">
      <c r="A1038" t="s">
        <v>6778</v>
      </c>
      <c r="B1038" t="s">
        <v>6779</v>
      </c>
    </row>
    <row r="1039" spans="1:2" x14ac:dyDescent="0.2">
      <c r="A1039" t="s">
        <v>6780</v>
      </c>
      <c r="B1039" t="s">
        <v>6781</v>
      </c>
    </row>
    <row r="1040" spans="1:2" x14ac:dyDescent="0.2">
      <c r="A1040" t="s">
        <v>6782</v>
      </c>
      <c r="B1040" t="s">
        <v>6783</v>
      </c>
    </row>
    <row r="1041" spans="1:2" x14ac:dyDescent="0.2">
      <c r="A1041" t="s">
        <v>6784</v>
      </c>
      <c r="B1041" t="s">
        <v>6785</v>
      </c>
    </row>
    <row r="1042" spans="1:2" x14ac:dyDescent="0.2">
      <c r="A1042" t="s">
        <v>6786</v>
      </c>
      <c r="B1042" t="s">
        <v>6787</v>
      </c>
    </row>
    <row r="1043" spans="1:2" x14ac:dyDescent="0.2">
      <c r="A1043" t="s">
        <v>6788</v>
      </c>
      <c r="B1043" t="s">
        <v>6789</v>
      </c>
    </row>
    <row r="1044" spans="1:2" x14ac:dyDescent="0.2">
      <c r="A1044" t="s">
        <v>6790</v>
      </c>
      <c r="B1044" t="s">
        <v>6791</v>
      </c>
    </row>
    <row r="1045" spans="1:2" x14ac:dyDescent="0.2">
      <c r="A1045" t="s">
        <v>3822</v>
      </c>
      <c r="B1045" t="s">
        <v>6792</v>
      </c>
    </row>
    <row r="1046" spans="1:2" x14ac:dyDescent="0.2">
      <c r="A1046" t="s">
        <v>6793</v>
      </c>
      <c r="B1046" t="s">
        <v>6794</v>
      </c>
    </row>
    <row r="1047" spans="1:2" x14ac:dyDescent="0.2">
      <c r="A1047" t="s">
        <v>6795</v>
      </c>
      <c r="B1047" t="s">
        <v>6796</v>
      </c>
    </row>
    <row r="1048" spans="1:2" x14ac:dyDescent="0.2">
      <c r="A1048" t="s">
        <v>6797</v>
      </c>
      <c r="B1048" t="s">
        <v>6798</v>
      </c>
    </row>
    <row r="1049" spans="1:2" x14ac:dyDescent="0.2">
      <c r="A1049" t="s">
        <v>3825</v>
      </c>
      <c r="B1049" t="s">
        <v>6799</v>
      </c>
    </row>
    <row r="1050" spans="1:2" x14ac:dyDescent="0.2">
      <c r="A1050" t="s">
        <v>6800</v>
      </c>
      <c r="B1050" t="s">
        <v>6799</v>
      </c>
    </row>
    <row r="1051" spans="1:2" x14ac:dyDescent="0.2">
      <c r="A1051" t="s">
        <v>3828</v>
      </c>
      <c r="B1051" t="s">
        <v>6801</v>
      </c>
    </row>
    <row r="1052" spans="1:2" x14ac:dyDescent="0.2">
      <c r="A1052" t="s">
        <v>6802</v>
      </c>
      <c r="B1052" t="s">
        <v>6801</v>
      </c>
    </row>
    <row r="1053" spans="1:2" x14ac:dyDescent="0.2">
      <c r="A1053" t="s">
        <v>3831</v>
      </c>
      <c r="B1053" t="s">
        <v>6803</v>
      </c>
    </row>
    <row r="1054" spans="1:2" x14ac:dyDescent="0.2">
      <c r="A1054" t="s">
        <v>6804</v>
      </c>
      <c r="B1054" t="s">
        <v>6803</v>
      </c>
    </row>
    <row r="1055" spans="1:2" x14ac:dyDescent="0.2">
      <c r="A1055" t="s">
        <v>3833</v>
      </c>
      <c r="B1055" t="s">
        <v>6805</v>
      </c>
    </row>
    <row r="1056" spans="1:2" x14ac:dyDescent="0.2">
      <c r="A1056" t="s">
        <v>3836</v>
      </c>
      <c r="B1056" t="s">
        <v>6805</v>
      </c>
    </row>
    <row r="1057" spans="1:2" x14ac:dyDescent="0.2">
      <c r="A1057" t="s">
        <v>6806</v>
      </c>
      <c r="B1057" t="s">
        <v>6807</v>
      </c>
    </row>
    <row r="1058" spans="1:2" x14ac:dyDescent="0.2">
      <c r="A1058" t="s">
        <v>6808</v>
      </c>
      <c r="B1058" t="s">
        <v>6809</v>
      </c>
    </row>
    <row r="1059" spans="1:2" x14ac:dyDescent="0.2">
      <c r="A1059" t="s">
        <v>6810</v>
      </c>
      <c r="B1059" t="s">
        <v>6811</v>
      </c>
    </row>
    <row r="1060" spans="1:2" x14ac:dyDescent="0.2">
      <c r="A1060" t="s">
        <v>3837</v>
      </c>
      <c r="B1060" t="s">
        <v>6812</v>
      </c>
    </row>
    <row r="1061" spans="1:2" x14ac:dyDescent="0.2">
      <c r="A1061" t="s">
        <v>3839</v>
      </c>
      <c r="B1061" t="s">
        <v>6813</v>
      </c>
    </row>
    <row r="1062" spans="1:2" x14ac:dyDescent="0.2">
      <c r="A1062" t="s">
        <v>3842</v>
      </c>
      <c r="B1062" t="s">
        <v>6814</v>
      </c>
    </row>
    <row r="1063" spans="1:2" x14ac:dyDescent="0.2">
      <c r="A1063" t="s">
        <v>6815</v>
      </c>
      <c r="B1063" t="s">
        <v>6816</v>
      </c>
    </row>
    <row r="1064" spans="1:2" x14ac:dyDescent="0.2">
      <c r="A1064" t="s">
        <v>6817</v>
      </c>
      <c r="B1064" t="s">
        <v>6818</v>
      </c>
    </row>
    <row r="1065" spans="1:2" x14ac:dyDescent="0.2">
      <c r="A1065" t="s">
        <v>3845</v>
      </c>
      <c r="B1065" t="s">
        <v>6819</v>
      </c>
    </row>
    <row r="1066" spans="1:2" x14ac:dyDescent="0.2">
      <c r="A1066" t="s">
        <v>6820</v>
      </c>
      <c r="B1066" t="s">
        <v>6821</v>
      </c>
    </row>
    <row r="1067" spans="1:2" x14ac:dyDescent="0.2">
      <c r="A1067" t="s">
        <v>6822</v>
      </c>
      <c r="B1067" t="s">
        <v>6823</v>
      </c>
    </row>
    <row r="1068" spans="1:2" x14ac:dyDescent="0.2">
      <c r="A1068" t="s">
        <v>3847</v>
      </c>
      <c r="B1068" t="s">
        <v>6824</v>
      </c>
    </row>
    <row r="1069" spans="1:2" x14ac:dyDescent="0.2">
      <c r="A1069" t="s">
        <v>3850</v>
      </c>
      <c r="B1069" t="s">
        <v>6825</v>
      </c>
    </row>
    <row r="1070" spans="1:2" x14ac:dyDescent="0.2">
      <c r="A1070" t="s">
        <v>6826</v>
      </c>
      <c r="B1070" t="s">
        <v>6825</v>
      </c>
    </row>
    <row r="1071" spans="1:2" x14ac:dyDescent="0.2">
      <c r="A1071" t="s">
        <v>3853</v>
      </c>
      <c r="B1071" t="s">
        <v>6827</v>
      </c>
    </row>
    <row r="1072" spans="1:2" x14ac:dyDescent="0.2">
      <c r="A1072" t="s">
        <v>6828</v>
      </c>
      <c r="B1072" t="s">
        <v>6827</v>
      </c>
    </row>
    <row r="1073" spans="1:2" x14ac:dyDescent="0.2">
      <c r="A1073" t="s">
        <v>3856</v>
      </c>
      <c r="B1073" t="s">
        <v>6829</v>
      </c>
    </row>
    <row r="1074" spans="1:2" x14ac:dyDescent="0.2">
      <c r="A1074" t="s">
        <v>6830</v>
      </c>
      <c r="B1074" t="s">
        <v>6829</v>
      </c>
    </row>
    <row r="1075" spans="1:2" x14ac:dyDescent="0.2">
      <c r="A1075" t="s">
        <v>3859</v>
      </c>
      <c r="B1075" t="s">
        <v>6831</v>
      </c>
    </row>
    <row r="1076" spans="1:2" x14ac:dyDescent="0.2">
      <c r="A1076" t="s">
        <v>6832</v>
      </c>
      <c r="B1076" t="s">
        <v>6831</v>
      </c>
    </row>
    <row r="1077" spans="1:2" x14ac:dyDescent="0.2">
      <c r="A1077" t="s">
        <v>3862</v>
      </c>
      <c r="B1077" t="s">
        <v>6833</v>
      </c>
    </row>
    <row r="1078" spans="1:2" x14ac:dyDescent="0.2">
      <c r="A1078" t="s">
        <v>6834</v>
      </c>
      <c r="B1078" t="s">
        <v>6833</v>
      </c>
    </row>
    <row r="1079" spans="1:2" x14ac:dyDescent="0.2">
      <c r="A1079" t="s">
        <v>3865</v>
      </c>
      <c r="B1079" t="s">
        <v>6835</v>
      </c>
    </row>
    <row r="1080" spans="1:2" x14ac:dyDescent="0.2">
      <c r="A1080" t="s">
        <v>6836</v>
      </c>
      <c r="B1080" t="s">
        <v>6835</v>
      </c>
    </row>
    <row r="1081" spans="1:2" x14ac:dyDescent="0.2">
      <c r="A1081" t="s">
        <v>3868</v>
      </c>
      <c r="B1081" t="s">
        <v>6837</v>
      </c>
    </row>
    <row r="1082" spans="1:2" x14ac:dyDescent="0.2">
      <c r="A1082" t="s">
        <v>6838</v>
      </c>
      <c r="B1082" t="s">
        <v>6837</v>
      </c>
    </row>
    <row r="1083" spans="1:2" x14ac:dyDescent="0.2">
      <c r="A1083" t="s">
        <v>3870</v>
      </c>
      <c r="B1083" t="s">
        <v>6839</v>
      </c>
    </row>
    <row r="1084" spans="1:2" x14ac:dyDescent="0.2">
      <c r="A1084" t="s">
        <v>3873</v>
      </c>
      <c r="B1084" t="s">
        <v>6839</v>
      </c>
    </row>
    <row r="1085" spans="1:2" x14ac:dyDescent="0.2">
      <c r="A1085" t="s">
        <v>6840</v>
      </c>
      <c r="B1085" t="s">
        <v>6841</v>
      </c>
    </row>
    <row r="1086" spans="1:2" x14ac:dyDescent="0.2">
      <c r="A1086" t="s">
        <v>6842</v>
      </c>
      <c r="B1086" t="s">
        <v>6843</v>
      </c>
    </row>
    <row r="1087" spans="1:2" x14ac:dyDescent="0.2">
      <c r="A1087" t="s">
        <v>3874</v>
      </c>
      <c r="B1087" t="s">
        <v>6844</v>
      </c>
    </row>
    <row r="1088" spans="1:2" x14ac:dyDescent="0.2">
      <c r="A1088" t="s">
        <v>3877</v>
      </c>
      <c r="B1088" t="s">
        <v>6845</v>
      </c>
    </row>
    <row r="1089" spans="1:2" x14ac:dyDescent="0.2">
      <c r="A1089" t="s">
        <v>6846</v>
      </c>
      <c r="B1089" t="s">
        <v>6845</v>
      </c>
    </row>
    <row r="1090" spans="1:2" x14ac:dyDescent="0.2">
      <c r="A1090" t="s">
        <v>3880</v>
      </c>
      <c r="B1090" t="s">
        <v>6847</v>
      </c>
    </row>
    <row r="1091" spans="1:2" x14ac:dyDescent="0.2">
      <c r="A1091" t="s">
        <v>6848</v>
      </c>
      <c r="B1091" t="s">
        <v>6847</v>
      </c>
    </row>
    <row r="1092" spans="1:2" x14ac:dyDescent="0.2">
      <c r="A1092" t="s">
        <v>3883</v>
      </c>
      <c r="B1092" t="s">
        <v>6849</v>
      </c>
    </row>
    <row r="1093" spans="1:2" x14ac:dyDescent="0.2">
      <c r="A1093" t="s">
        <v>6850</v>
      </c>
      <c r="B1093" t="s">
        <v>6849</v>
      </c>
    </row>
    <row r="1094" spans="1:2" x14ac:dyDescent="0.2">
      <c r="A1094" t="s">
        <v>3885</v>
      </c>
      <c r="B1094" t="s">
        <v>6851</v>
      </c>
    </row>
    <row r="1095" spans="1:2" x14ac:dyDescent="0.2">
      <c r="A1095" t="s">
        <v>3888</v>
      </c>
      <c r="B1095" t="s">
        <v>6852</v>
      </c>
    </row>
    <row r="1096" spans="1:2" x14ac:dyDescent="0.2">
      <c r="A1096" t="s">
        <v>6853</v>
      </c>
      <c r="B1096" t="s">
        <v>6852</v>
      </c>
    </row>
    <row r="1097" spans="1:2" x14ac:dyDescent="0.2">
      <c r="A1097" t="s">
        <v>3891</v>
      </c>
      <c r="B1097" t="s">
        <v>6854</v>
      </c>
    </row>
    <row r="1098" spans="1:2" x14ac:dyDescent="0.2">
      <c r="A1098" t="s">
        <v>6855</v>
      </c>
      <c r="B1098" t="s">
        <v>6856</v>
      </c>
    </row>
    <row r="1099" spans="1:2" x14ac:dyDescent="0.2">
      <c r="A1099" t="s">
        <v>6857</v>
      </c>
      <c r="B1099" t="s">
        <v>6858</v>
      </c>
    </row>
    <row r="1100" spans="1:2" x14ac:dyDescent="0.2">
      <c r="A1100" t="s">
        <v>3894</v>
      </c>
      <c r="B1100" t="s">
        <v>6859</v>
      </c>
    </row>
    <row r="1101" spans="1:2" x14ac:dyDescent="0.2">
      <c r="A1101" t="s">
        <v>6860</v>
      </c>
      <c r="B1101" t="s">
        <v>6859</v>
      </c>
    </row>
    <row r="1102" spans="1:2" x14ac:dyDescent="0.2">
      <c r="A1102" t="s">
        <v>3897</v>
      </c>
      <c r="B1102" t="s">
        <v>6861</v>
      </c>
    </row>
    <row r="1103" spans="1:2" x14ac:dyDescent="0.2">
      <c r="A1103" t="s">
        <v>6862</v>
      </c>
      <c r="B1103" t="s">
        <v>6861</v>
      </c>
    </row>
    <row r="1104" spans="1:2" x14ac:dyDescent="0.2">
      <c r="A1104" t="s">
        <v>3900</v>
      </c>
      <c r="B1104" t="s">
        <v>6863</v>
      </c>
    </row>
    <row r="1105" spans="1:2" x14ac:dyDescent="0.2">
      <c r="A1105" t="s">
        <v>6864</v>
      </c>
      <c r="B1105" t="s">
        <v>6865</v>
      </c>
    </row>
    <row r="1106" spans="1:2" x14ac:dyDescent="0.2">
      <c r="A1106" t="s">
        <v>6866</v>
      </c>
      <c r="B1106" t="s">
        <v>6867</v>
      </c>
    </row>
    <row r="1107" spans="1:2" x14ac:dyDescent="0.2">
      <c r="A1107" t="s">
        <v>6868</v>
      </c>
      <c r="B1107" t="s">
        <v>6869</v>
      </c>
    </row>
    <row r="1108" spans="1:2" x14ac:dyDescent="0.2">
      <c r="A1108" t="s">
        <v>6870</v>
      </c>
      <c r="B1108" t="s">
        <v>6871</v>
      </c>
    </row>
    <row r="1109" spans="1:2" x14ac:dyDescent="0.2">
      <c r="A1109" t="s">
        <v>3902</v>
      </c>
      <c r="B1109" t="s">
        <v>6872</v>
      </c>
    </row>
    <row r="1110" spans="1:2" x14ac:dyDescent="0.2">
      <c r="A1110" t="s">
        <v>3905</v>
      </c>
      <c r="B1110" t="s">
        <v>6873</v>
      </c>
    </row>
    <row r="1111" spans="1:2" x14ac:dyDescent="0.2">
      <c r="A1111" t="s">
        <v>6874</v>
      </c>
      <c r="B1111" t="s">
        <v>6873</v>
      </c>
    </row>
    <row r="1112" spans="1:2" x14ac:dyDescent="0.2">
      <c r="A1112" t="s">
        <v>3908</v>
      </c>
      <c r="B1112" t="s">
        <v>6875</v>
      </c>
    </row>
    <row r="1113" spans="1:2" x14ac:dyDescent="0.2">
      <c r="A1113" t="s">
        <v>6876</v>
      </c>
      <c r="B1113" t="s">
        <v>6877</v>
      </c>
    </row>
    <row r="1114" spans="1:2" x14ac:dyDescent="0.2">
      <c r="A1114" t="s">
        <v>6878</v>
      </c>
      <c r="B1114" t="s">
        <v>6879</v>
      </c>
    </row>
    <row r="1115" spans="1:2" x14ac:dyDescent="0.2">
      <c r="A1115" t="s">
        <v>3911</v>
      </c>
      <c r="B1115" t="s">
        <v>6880</v>
      </c>
    </row>
    <row r="1116" spans="1:2" x14ac:dyDescent="0.2">
      <c r="A1116" t="s">
        <v>6881</v>
      </c>
      <c r="B1116" t="s">
        <v>6880</v>
      </c>
    </row>
    <row r="1117" spans="1:2" x14ac:dyDescent="0.2">
      <c r="A1117" t="s">
        <v>3914</v>
      </c>
      <c r="B1117" t="s">
        <v>6882</v>
      </c>
    </row>
    <row r="1118" spans="1:2" x14ac:dyDescent="0.2">
      <c r="A1118" t="s">
        <v>6883</v>
      </c>
      <c r="B1118" t="s">
        <v>6884</v>
      </c>
    </row>
    <row r="1119" spans="1:2" x14ac:dyDescent="0.2">
      <c r="A1119" t="s">
        <v>6885</v>
      </c>
      <c r="B1119" t="s">
        <v>6886</v>
      </c>
    </row>
    <row r="1120" spans="1:2" x14ac:dyDescent="0.2">
      <c r="A1120" t="s">
        <v>3917</v>
      </c>
      <c r="B1120" t="s">
        <v>6887</v>
      </c>
    </row>
    <row r="1121" spans="1:2" x14ac:dyDescent="0.2">
      <c r="A1121" t="s">
        <v>6888</v>
      </c>
      <c r="B1121" t="s">
        <v>6887</v>
      </c>
    </row>
    <row r="1122" spans="1:2" x14ac:dyDescent="0.2">
      <c r="A1122" t="s">
        <v>3919</v>
      </c>
      <c r="B1122" t="s">
        <v>6889</v>
      </c>
    </row>
    <row r="1123" spans="1:2" x14ac:dyDescent="0.2">
      <c r="A1123" t="s">
        <v>3922</v>
      </c>
      <c r="B1123" t="s">
        <v>6890</v>
      </c>
    </row>
    <row r="1124" spans="1:2" x14ac:dyDescent="0.2">
      <c r="A1124" t="s">
        <v>6891</v>
      </c>
      <c r="B1124" t="s">
        <v>6890</v>
      </c>
    </row>
    <row r="1125" spans="1:2" x14ac:dyDescent="0.2">
      <c r="A1125" t="s">
        <v>3925</v>
      </c>
      <c r="B1125" t="s">
        <v>6892</v>
      </c>
    </row>
    <row r="1126" spans="1:2" x14ac:dyDescent="0.2">
      <c r="A1126" t="s">
        <v>6893</v>
      </c>
      <c r="B1126" t="s">
        <v>6894</v>
      </c>
    </row>
    <row r="1127" spans="1:2" x14ac:dyDescent="0.2">
      <c r="A1127" t="s">
        <v>6895</v>
      </c>
      <c r="B1127" t="s">
        <v>6896</v>
      </c>
    </row>
    <row r="1128" spans="1:2" x14ac:dyDescent="0.2">
      <c r="A1128" t="s">
        <v>3928</v>
      </c>
      <c r="B1128" t="s">
        <v>6897</v>
      </c>
    </row>
    <row r="1129" spans="1:2" x14ac:dyDescent="0.2">
      <c r="A1129" t="s">
        <v>6898</v>
      </c>
      <c r="B1129" t="s">
        <v>6897</v>
      </c>
    </row>
    <row r="1130" spans="1:2" x14ac:dyDescent="0.2">
      <c r="A1130" t="s">
        <v>3931</v>
      </c>
      <c r="B1130" t="s">
        <v>6899</v>
      </c>
    </row>
    <row r="1131" spans="1:2" x14ac:dyDescent="0.2">
      <c r="A1131" t="s">
        <v>6900</v>
      </c>
      <c r="B1131" t="s">
        <v>6899</v>
      </c>
    </row>
    <row r="1132" spans="1:2" x14ac:dyDescent="0.2">
      <c r="A1132" t="s">
        <v>3934</v>
      </c>
      <c r="B1132" t="s">
        <v>6901</v>
      </c>
    </row>
    <row r="1133" spans="1:2" x14ac:dyDescent="0.2">
      <c r="A1133" t="s">
        <v>6902</v>
      </c>
      <c r="B1133" t="s">
        <v>6901</v>
      </c>
    </row>
    <row r="1134" spans="1:2" x14ac:dyDescent="0.2">
      <c r="A1134" t="s">
        <v>3937</v>
      </c>
      <c r="B1134" t="s">
        <v>6903</v>
      </c>
    </row>
    <row r="1135" spans="1:2" x14ac:dyDescent="0.2">
      <c r="A1135" t="s">
        <v>6904</v>
      </c>
      <c r="B1135" t="s">
        <v>6905</v>
      </c>
    </row>
    <row r="1136" spans="1:2" x14ac:dyDescent="0.2">
      <c r="A1136" t="s">
        <v>6906</v>
      </c>
      <c r="B1136" t="s">
        <v>6907</v>
      </c>
    </row>
    <row r="1137" spans="1:2" x14ac:dyDescent="0.2">
      <c r="A1137" t="s">
        <v>3940</v>
      </c>
      <c r="B1137" t="s">
        <v>6908</v>
      </c>
    </row>
    <row r="1138" spans="1:2" x14ac:dyDescent="0.2">
      <c r="A1138" t="s">
        <v>6909</v>
      </c>
      <c r="B1138" t="s">
        <v>6908</v>
      </c>
    </row>
    <row r="1139" spans="1:2" x14ac:dyDescent="0.2">
      <c r="A1139" t="s">
        <v>3943</v>
      </c>
      <c r="B1139" t="s">
        <v>6910</v>
      </c>
    </row>
    <row r="1140" spans="1:2" x14ac:dyDescent="0.2">
      <c r="A1140" t="s">
        <v>6911</v>
      </c>
      <c r="B1140" t="s">
        <v>6912</v>
      </c>
    </row>
    <row r="1141" spans="1:2" x14ac:dyDescent="0.2">
      <c r="A1141" t="s">
        <v>6913</v>
      </c>
      <c r="B1141" t="s">
        <v>6914</v>
      </c>
    </row>
    <row r="1142" spans="1:2" x14ac:dyDescent="0.2">
      <c r="A1142" t="s">
        <v>6915</v>
      </c>
      <c r="B1142" t="s">
        <v>6916</v>
      </c>
    </row>
    <row r="1143" spans="1:2" x14ac:dyDescent="0.2">
      <c r="A1143" t="s">
        <v>6917</v>
      </c>
      <c r="B1143" t="s">
        <v>6918</v>
      </c>
    </row>
    <row r="1144" spans="1:2" x14ac:dyDescent="0.2">
      <c r="A1144" t="s">
        <v>3946</v>
      </c>
      <c r="B1144" t="s">
        <v>6919</v>
      </c>
    </row>
    <row r="1145" spans="1:2" x14ac:dyDescent="0.2">
      <c r="A1145" t="s">
        <v>6920</v>
      </c>
      <c r="B1145" t="s">
        <v>6921</v>
      </c>
    </row>
    <row r="1146" spans="1:2" x14ac:dyDescent="0.2">
      <c r="A1146" t="s">
        <v>6922</v>
      </c>
      <c r="B1146" t="s">
        <v>6923</v>
      </c>
    </row>
    <row r="1147" spans="1:2" x14ac:dyDescent="0.2">
      <c r="A1147" t="s">
        <v>6924</v>
      </c>
      <c r="B1147" t="s">
        <v>6925</v>
      </c>
    </row>
    <row r="1148" spans="1:2" x14ac:dyDescent="0.2">
      <c r="A1148" t="s">
        <v>3948</v>
      </c>
      <c r="B1148" t="s">
        <v>6926</v>
      </c>
    </row>
    <row r="1149" spans="1:2" x14ac:dyDescent="0.2">
      <c r="A1149" t="s">
        <v>3951</v>
      </c>
      <c r="B1149" t="s">
        <v>6927</v>
      </c>
    </row>
    <row r="1150" spans="1:2" x14ac:dyDescent="0.2">
      <c r="A1150" t="s">
        <v>6928</v>
      </c>
      <c r="B1150" t="s">
        <v>6927</v>
      </c>
    </row>
    <row r="1151" spans="1:2" x14ac:dyDescent="0.2">
      <c r="A1151" t="s">
        <v>3954</v>
      </c>
      <c r="B1151" t="s">
        <v>6929</v>
      </c>
    </row>
    <row r="1152" spans="1:2" x14ac:dyDescent="0.2">
      <c r="A1152" t="s">
        <v>6930</v>
      </c>
      <c r="B1152" t="s">
        <v>6929</v>
      </c>
    </row>
    <row r="1153" spans="1:2" x14ac:dyDescent="0.2">
      <c r="A1153" t="s">
        <v>3957</v>
      </c>
      <c r="B1153" t="s">
        <v>6931</v>
      </c>
    </row>
    <row r="1154" spans="1:2" x14ac:dyDescent="0.2">
      <c r="A1154" t="s">
        <v>6932</v>
      </c>
      <c r="B1154" t="s">
        <v>6931</v>
      </c>
    </row>
    <row r="1155" spans="1:2" x14ac:dyDescent="0.2">
      <c r="A1155" t="s">
        <v>3959</v>
      </c>
      <c r="B1155" t="s">
        <v>6933</v>
      </c>
    </row>
    <row r="1156" spans="1:2" x14ac:dyDescent="0.2">
      <c r="A1156" t="s">
        <v>3962</v>
      </c>
      <c r="B1156" t="s">
        <v>6934</v>
      </c>
    </row>
    <row r="1157" spans="1:2" x14ac:dyDescent="0.2">
      <c r="A1157" t="s">
        <v>6935</v>
      </c>
      <c r="B1157" t="s">
        <v>6936</v>
      </c>
    </row>
    <row r="1158" spans="1:2" x14ac:dyDescent="0.2">
      <c r="A1158" t="s">
        <v>6937</v>
      </c>
      <c r="B1158" t="s">
        <v>6938</v>
      </c>
    </row>
    <row r="1159" spans="1:2" x14ac:dyDescent="0.2">
      <c r="A1159" t="s">
        <v>3965</v>
      </c>
      <c r="B1159" t="s">
        <v>6939</v>
      </c>
    </row>
    <row r="1160" spans="1:2" x14ac:dyDescent="0.2">
      <c r="A1160" t="s">
        <v>6940</v>
      </c>
      <c r="B1160" t="s">
        <v>6941</v>
      </c>
    </row>
    <row r="1161" spans="1:2" x14ac:dyDescent="0.2">
      <c r="A1161" t="s">
        <v>6942</v>
      </c>
      <c r="B1161" t="s">
        <v>6943</v>
      </c>
    </row>
    <row r="1162" spans="1:2" x14ac:dyDescent="0.2">
      <c r="A1162" t="s">
        <v>3967</v>
      </c>
      <c r="B1162" t="s">
        <v>6944</v>
      </c>
    </row>
    <row r="1163" spans="1:2" x14ac:dyDescent="0.2">
      <c r="A1163" t="s">
        <v>3969</v>
      </c>
      <c r="B1163" t="s">
        <v>6945</v>
      </c>
    </row>
    <row r="1164" spans="1:2" x14ac:dyDescent="0.2">
      <c r="A1164" t="s">
        <v>3971</v>
      </c>
      <c r="B1164" t="s">
        <v>6946</v>
      </c>
    </row>
    <row r="1165" spans="1:2" x14ac:dyDescent="0.2">
      <c r="A1165" t="s">
        <v>3974</v>
      </c>
      <c r="B1165" t="s">
        <v>6946</v>
      </c>
    </row>
    <row r="1166" spans="1:2" x14ac:dyDescent="0.2">
      <c r="A1166" t="s">
        <v>6947</v>
      </c>
      <c r="B1166" t="s">
        <v>6946</v>
      </c>
    </row>
    <row r="1167" spans="1:2" x14ac:dyDescent="0.2">
      <c r="A1167" t="s">
        <v>3975</v>
      </c>
      <c r="B1167" t="s">
        <v>6948</v>
      </c>
    </row>
    <row r="1168" spans="1:2" x14ac:dyDescent="0.2">
      <c r="A1168" t="s">
        <v>3978</v>
      </c>
      <c r="B1168" t="s">
        <v>6948</v>
      </c>
    </row>
    <row r="1169" spans="1:2" x14ac:dyDescent="0.2">
      <c r="A1169" t="s">
        <v>6949</v>
      </c>
      <c r="B1169" t="s">
        <v>6948</v>
      </c>
    </row>
    <row r="1170" spans="1:2" x14ac:dyDescent="0.2">
      <c r="A1170" t="s">
        <v>3979</v>
      </c>
      <c r="B1170" t="s">
        <v>6950</v>
      </c>
    </row>
    <row r="1171" spans="1:2" x14ac:dyDescent="0.2">
      <c r="A1171" t="s">
        <v>3982</v>
      </c>
      <c r="B1171" t="s">
        <v>6951</v>
      </c>
    </row>
    <row r="1172" spans="1:2" x14ac:dyDescent="0.2">
      <c r="A1172" t="s">
        <v>6952</v>
      </c>
      <c r="B1172" t="s">
        <v>6951</v>
      </c>
    </row>
    <row r="1173" spans="1:2" x14ac:dyDescent="0.2">
      <c r="A1173" t="s">
        <v>3985</v>
      </c>
      <c r="B1173" t="s">
        <v>6953</v>
      </c>
    </row>
    <row r="1174" spans="1:2" x14ac:dyDescent="0.2">
      <c r="A1174" t="s">
        <v>6954</v>
      </c>
      <c r="B1174" t="s">
        <v>6953</v>
      </c>
    </row>
    <row r="1175" spans="1:2" x14ac:dyDescent="0.2">
      <c r="A1175" t="s">
        <v>3988</v>
      </c>
      <c r="B1175" t="s">
        <v>6955</v>
      </c>
    </row>
    <row r="1176" spans="1:2" x14ac:dyDescent="0.2">
      <c r="A1176" t="s">
        <v>6956</v>
      </c>
      <c r="B1176" t="s">
        <v>6957</v>
      </c>
    </row>
    <row r="1177" spans="1:2" x14ac:dyDescent="0.2">
      <c r="A1177" t="s">
        <v>6958</v>
      </c>
      <c r="B1177" t="s">
        <v>6959</v>
      </c>
    </row>
    <row r="1178" spans="1:2" x14ac:dyDescent="0.2">
      <c r="A1178" t="s">
        <v>6960</v>
      </c>
      <c r="B1178" t="s">
        <v>6961</v>
      </c>
    </row>
    <row r="1179" spans="1:2" x14ac:dyDescent="0.2">
      <c r="A1179" t="s">
        <v>3990</v>
      </c>
      <c r="B1179" t="s">
        <v>6962</v>
      </c>
    </row>
    <row r="1180" spans="1:2" x14ac:dyDescent="0.2">
      <c r="A1180" t="s">
        <v>3993</v>
      </c>
      <c r="B1180" t="s">
        <v>6963</v>
      </c>
    </row>
    <row r="1181" spans="1:2" x14ac:dyDescent="0.2">
      <c r="A1181" t="s">
        <v>6964</v>
      </c>
      <c r="B1181" t="s">
        <v>6963</v>
      </c>
    </row>
    <row r="1182" spans="1:2" x14ac:dyDescent="0.2">
      <c r="A1182" t="s">
        <v>3996</v>
      </c>
      <c r="B1182" t="s">
        <v>6965</v>
      </c>
    </row>
    <row r="1183" spans="1:2" x14ac:dyDescent="0.2">
      <c r="A1183" t="s">
        <v>6966</v>
      </c>
      <c r="B1183" t="s">
        <v>6965</v>
      </c>
    </row>
    <row r="1184" spans="1:2" x14ac:dyDescent="0.2">
      <c r="A1184" t="s">
        <v>3998</v>
      </c>
      <c r="B1184" t="s">
        <v>6967</v>
      </c>
    </row>
    <row r="1185" spans="1:2" x14ac:dyDescent="0.2">
      <c r="A1185" t="s">
        <v>4001</v>
      </c>
      <c r="B1185" t="s">
        <v>6967</v>
      </c>
    </row>
    <row r="1186" spans="1:2" x14ac:dyDescent="0.2">
      <c r="A1186" t="s">
        <v>6968</v>
      </c>
      <c r="B1186" t="s">
        <v>6967</v>
      </c>
    </row>
    <row r="1187" spans="1:2" x14ac:dyDescent="0.2">
      <c r="A1187" t="s">
        <v>4002</v>
      </c>
      <c r="B1187" t="s">
        <v>6969</v>
      </c>
    </row>
    <row r="1188" spans="1:2" x14ac:dyDescent="0.2">
      <c r="A1188" t="s">
        <v>4004</v>
      </c>
      <c r="B1188" t="s">
        <v>6970</v>
      </c>
    </row>
    <row r="1189" spans="1:2" x14ac:dyDescent="0.2">
      <c r="A1189" t="s">
        <v>4007</v>
      </c>
      <c r="B1189" t="s">
        <v>6970</v>
      </c>
    </row>
    <row r="1190" spans="1:2" x14ac:dyDescent="0.2">
      <c r="A1190" t="s">
        <v>6971</v>
      </c>
      <c r="B1190" t="s">
        <v>6970</v>
      </c>
    </row>
    <row r="1191" spans="1:2" x14ac:dyDescent="0.2">
      <c r="A1191" t="s">
        <v>4008</v>
      </c>
      <c r="B1191" t="s">
        <v>6972</v>
      </c>
    </row>
    <row r="1192" spans="1:2" x14ac:dyDescent="0.2">
      <c r="A1192" t="s">
        <v>4011</v>
      </c>
      <c r="B1192" t="s">
        <v>6972</v>
      </c>
    </row>
    <row r="1193" spans="1:2" x14ac:dyDescent="0.2">
      <c r="A1193" t="s">
        <v>6973</v>
      </c>
      <c r="B1193" t="s">
        <v>6972</v>
      </c>
    </row>
    <row r="1194" spans="1:2" x14ac:dyDescent="0.2">
      <c r="A1194" t="s">
        <v>4012</v>
      </c>
      <c r="B1194" t="s">
        <v>6974</v>
      </c>
    </row>
    <row r="1195" spans="1:2" x14ac:dyDescent="0.2">
      <c r="A1195" t="s">
        <v>4015</v>
      </c>
      <c r="B1195" t="s">
        <v>6974</v>
      </c>
    </row>
    <row r="1196" spans="1:2" x14ac:dyDescent="0.2">
      <c r="A1196" t="s">
        <v>6975</v>
      </c>
      <c r="B1196" t="s">
        <v>6974</v>
      </c>
    </row>
    <row r="1197" spans="1:2" x14ac:dyDescent="0.2">
      <c r="A1197" t="s">
        <v>4016</v>
      </c>
      <c r="B1197" t="s">
        <v>6976</v>
      </c>
    </row>
    <row r="1198" spans="1:2" x14ac:dyDescent="0.2">
      <c r="A1198" t="s">
        <v>4019</v>
      </c>
      <c r="B1198" t="s">
        <v>6976</v>
      </c>
    </row>
    <row r="1199" spans="1:2" x14ac:dyDescent="0.2">
      <c r="A1199" t="s">
        <v>6977</v>
      </c>
      <c r="B1199" t="s">
        <v>6976</v>
      </c>
    </row>
    <row r="1200" spans="1:2" x14ac:dyDescent="0.2">
      <c r="A1200" t="s">
        <v>4020</v>
      </c>
      <c r="B1200" t="s">
        <v>6978</v>
      </c>
    </row>
    <row r="1201" spans="1:2" x14ac:dyDescent="0.2">
      <c r="A1201" t="s">
        <v>4022</v>
      </c>
      <c r="B1201" t="s">
        <v>6979</v>
      </c>
    </row>
    <row r="1202" spans="1:2" x14ac:dyDescent="0.2">
      <c r="A1202" t="s">
        <v>4025</v>
      </c>
      <c r="B1202" t="s">
        <v>6979</v>
      </c>
    </row>
    <row r="1203" spans="1:2" x14ac:dyDescent="0.2">
      <c r="A1203" t="s">
        <v>6980</v>
      </c>
      <c r="B1203" t="s">
        <v>6979</v>
      </c>
    </row>
    <row r="1204" spans="1:2" x14ac:dyDescent="0.2">
      <c r="A1204" t="s">
        <v>4026</v>
      </c>
      <c r="B1204" t="s">
        <v>6981</v>
      </c>
    </row>
    <row r="1205" spans="1:2" x14ac:dyDescent="0.2">
      <c r="A1205" t="s">
        <v>4029</v>
      </c>
      <c r="B1205" t="s">
        <v>6982</v>
      </c>
    </row>
    <row r="1206" spans="1:2" x14ac:dyDescent="0.2">
      <c r="A1206" t="s">
        <v>6983</v>
      </c>
      <c r="B1206" t="s">
        <v>6982</v>
      </c>
    </row>
    <row r="1207" spans="1:2" x14ac:dyDescent="0.2">
      <c r="A1207" t="s">
        <v>4032</v>
      </c>
      <c r="B1207" t="s">
        <v>6984</v>
      </c>
    </row>
    <row r="1208" spans="1:2" x14ac:dyDescent="0.2">
      <c r="A1208" t="s">
        <v>6985</v>
      </c>
      <c r="B1208" t="s">
        <v>6984</v>
      </c>
    </row>
    <row r="1209" spans="1:2" x14ac:dyDescent="0.2">
      <c r="A1209" t="s">
        <v>4034</v>
      </c>
      <c r="B1209" t="s">
        <v>6986</v>
      </c>
    </row>
    <row r="1210" spans="1:2" x14ac:dyDescent="0.2">
      <c r="A1210" t="s">
        <v>4036</v>
      </c>
      <c r="B1210" t="s">
        <v>6987</v>
      </c>
    </row>
    <row r="1211" spans="1:2" x14ac:dyDescent="0.2">
      <c r="A1211" t="s">
        <v>4039</v>
      </c>
      <c r="B1211" t="s">
        <v>6987</v>
      </c>
    </row>
    <row r="1212" spans="1:2" x14ac:dyDescent="0.2">
      <c r="A1212" t="s">
        <v>6988</v>
      </c>
      <c r="B1212" t="s">
        <v>6987</v>
      </c>
    </row>
    <row r="1213" spans="1:2" x14ac:dyDescent="0.2">
      <c r="A1213" t="s">
        <v>4040</v>
      </c>
      <c r="B1213" t="s">
        <v>6989</v>
      </c>
    </row>
    <row r="1214" spans="1:2" x14ac:dyDescent="0.2">
      <c r="A1214" t="s">
        <v>4043</v>
      </c>
      <c r="B1214" t="s">
        <v>6990</v>
      </c>
    </row>
    <row r="1215" spans="1:2" x14ac:dyDescent="0.2">
      <c r="A1215" t="s">
        <v>6991</v>
      </c>
      <c r="B1215" t="s">
        <v>6992</v>
      </c>
    </row>
    <row r="1216" spans="1:2" x14ac:dyDescent="0.2">
      <c r="A1216" t="s">
        <v>6993</v>
      </c>
      <c r="B1216" t="s">
        <v>6994</v>
      </c>
    </row>
    <row r="1217" spans="1:2" x14ac:dyDescent="0.2">
      <c r="A1217" t="s">
        <v>6995</v>
      </c>
      <c r="B1217" t="s">
        <v>6996</v>
      </c>
    </row>
    <row r="1218" spans="1:2" x14ac:dyDescent="0.2">
      <c r="A1218" t="s">
        <v>6997</v>
      </c>
      <c r="B1218" t="s">
        <v>6998</v>
      </c>
    </row>
    <row r="1219" spans="1:2" x14ac:dyDescent="0.2">
      <c r="A1219" t="s">
        <v>6999</v>
      </c>
      <c r="B1219" t="s">
        <v>7000</v>
      </c>
    </row>
    <row r="1220" spans="1:2" x14ac:dyDescent="0.2">
      <c r="A1220" t="s">
        <v>7001</v>
      </c>
      <c r="B1220" t="s">
        <v>7002</v>
      </c>
    </row>
    <row r="1221" spans="1:2" x14ac:dyDescent="0.2">
      <c r="A1221" t="s">
        <v>4046</v>
      </c>
      <c r="B1221" t="s">
        <v>7003</v>
      </c>
    </row>
    <row r="1222" spans="1:2" x14ac:dyDescent="0.2">
      <c r="A1222" t="s">
        <v>7004</v>
      </c>
      <c r="B1222" t="s">
        <v>7005</v>
      </c>
    </row>
    <row r="1223" spans="1:2" x14ac:dyDescent="0.2">
      <c r="A1223" t="s">
        <v>7006</v>
      </c>
      <c r="B1223" t="s">
        <v>7007</v>
      </c>
    </row>
    <row r="1224" spans="1:2" x14ac:dyDescent="0.2">
      <c r="A1224" t="s">
        <v>7008</v>
      </c>
      <c r="B1224" t="s">
        <v>7009</v>
      </c>
    </row>
    <row r="1225" spans="1:2" x14ac:dyDescent="0.2">
      <c r="A1225" t="s">
        <v>7010</v>
      </c>
      <c r="B1225" t="s">
        <v>7011</v>
      </c>
    </row>
    <row r="1226" spans="1:2" x14ac:dyDescent="0.2">
      <c r="A1226" t="s">
        <v>4049</v>
      </c>
      <c r="B1226" t="s">
        <v>7012</v>
      </c>
    </row>
    <row r="1227" spans="1:2" x14ac:dyDescent="0.2">
      <c r="A1227" t="s">
        <v>7013</v>
      </c>
      <c r="B1227" t="s">
        <v>7014</v>
      </c>
    </row>
    <row r="1228" spans="1:2" x14ac:dyDescent="0.2">
      <c r="A1228" t="s">
        <v>7015</v>
      </c>
      <c r="B1228" t="s">
        <v>7016</v>
      </c>
    </row>
    <row r="1229" spans="1:2" x14ac:dyDescent="0.2">
      <c r="A1229" t="s">
        <v>4052</v>
      </c>
      <c r="B1229" t="s">
        <v>7017</v>
      </c>
    </row>
    <row r="1230" spans="1:2" x14ac:dyDescent="0.2">
      <c r="A1230" t="s">
        <v>7018</v>
      </c>
      <c r="B1230" t="s">
        <v>7017</v>
      </c>
    </row>
    <row r="1231" spans="1:2" x14ac:dyDescent="0.2">
      <c r="A1231" t="s">
        <v>4055</v>
      </c>
      <c r="B1231" t="s">
        <v>7019</v>
      </c>
    </row>
    <row r="1232" spans="1:2" x14ac:dyDescent="0.2">
      <c r="A1232" t="s">
        <v>7020</v>
      </c>
      <c r="B1232" t="s">
        <v>7021</v>
      </c>
    </row>
    <row r="1233" spans="1:2" x14ac:dyDescent="0.2">
      <c r="A1233" t="s">
        <v>7022</v>
      </c>
      <c r="B1233" t="s">
        <v>7023</v>
      </c>
    </row>
    <row r="1234" spans="1:2" x14ac:dyDescent="0.2">
      <c r="A1234" t="s">
        <v>7024</v>
      </c>
      <c r="B1234" t="s">
        <v>7025</v>
      </c>
    </row>
    <row r="1235" spans="1:2" x14ac:dyDescent="0.2">
      <c r="A1235" t="s">
        <v>4057</v>
      </c>
      <c r="B1235" t="s">
        <v>7026</v>
      </c>
    </row>
    <row r="1236" spans="1:2" x14ac:dyDescent="0.2">
      <c r="A1236" t="s">
        <v>4059</v>
      </c>
      <c r="B1236" t="s">
        <v>7027</v>
      </c>
    </row>
    <row r="1237" spans="1:2" x14ac:dyDescent="0.2">
      <c r="A1237" t="s">
        <v>4062</v>
      </c>
      <c r="B1237" t="s">
        <v>7027</v>
      </c>
    </row>
    <row r="1238" spans="1:2" x14ac:dyDescent="0.2">
      <c r="A1238" t="s">
        <v>7028</v>
      </c>
      <c r="B1238" t="s">
        <v>7027</v>
      </c>
    </row>
    <row r="1239" spans="1:2" x14ac:dyDescent="0.2">
      <c r="A1239" t="s">
        <v>4063</v>
      </c>
      <c r="B1239" t="s">
        <v>7029</v>
      </c>
    </row>
    <row r="1240" spans="1:2" x14ac:dyDescent="0.2">
      <c r="A1240" t="s">
        <v>4066</v>
      </c>
      <c r="B1240" t="s">
        <v>7029</v>
      </c>
    </row>
    <row r="1241" spans="1:2" x14ac:dyDescent="0.2">
      <c r="A1241" t="s">
        <v>7030</v>
      </c>
      <c r="B1241" t="s">
        <v>7029</v>
      </c>
    </row>
    <row r="1242" spans="1:2" x14ac:dyDescent="0.2">
      <c r="A1242" t="s">
        <v>4067</v>
      </c>
      <c r="B1242" t="s">
        <v>7031</v>
      </c>
    </row>
    <row r="1243" spans="1:2" x14ac:dyDescent="0.2">
      <c r="A1243" t="s">
        <v>4069</v>
      </c>
      <c r="B1243" t="s">
        <v>7032</v>
      </c>
    </row>
    <row r="1244" spans="1:2" x14ac:dyDescent="0.2">
      <c r="A1244" t="s">
        <v>4071</v>
      </c>
      <c r="B1244" t="s">
        <v>7033</v>
      </c>
    </row>
    <row r="1245" spans="1:2" x14ac:dyDescent="0.2">
      <c r="A1245" t="s">
        <v>4074</v>
      </c>
      <c r="B1245" t="s">
        <v>7033</v>
      </c>
    </row>
    <row r="1246" spans="1:2" x14ac:dyDescent="0.2">
      <c r="A1246" t="s">
        <v>7034</v>
      </c>
      <c r="B1246" t="s">
        <v>7035</v>
      </c>
    </row>
    <row r="1247" spans="1:2" x14ac:dyDescent="0.2">
      <c r="A1247" t="s">
        <v>7036</v>
      </c>
      <c r="B1247" t="s">
        <v>7037</v>
      </c>
    </row>
    <row r="1248" spans="1:2" x14ac:dyDescent="0.2">
      <c r="A1248" t="s">
        <v>7038</v>
      </c>
      <c r="B1248" t="s">
        <v>7039</v>
      </c>
    </row>
    <row r="1249" spans="1:2" x14ac:dyDescent="0.2">
      <c r="A1249" t="s">
        <v>7040</v>
      </c>
      <c r="B1249" t="s">
        <v>7041</v>
      </c>
    </row>
    <row r="1250" spans="1:2" x14ac:dyDescent="0.2">
      <c r="A1250" t="s">
        <v>4075</v>
      </c>
      <c r="B1250" t="s">
        <v>7042</v>
      </c>
    </row>
    <row r="1251" spans="1:2" x14ac:dyDescent="0.2">
      <c r="A1251" t="s">
        <v>4078</v>
      </c>
      <c r="B1251" t="s">
        <v>7042</v>
      </c>
    </row>
    <row r="1252" spans="1:2" x14ac:dyDescent="0.2">
      <c r="A1252" t="s">
        <v>7043</v>
      </c>
      <c r="B1252" t="s">
        <v>7044</v>
      </c>
    </row>
    <row r="1253" spans="1:2" x14ac:dyDescent="0.2">
      <c r="A1253" t="s">
        <v>7045</v>
      </c>
      <c r="B1253" t="s">
        <v>7046</v>
      </c>
    </row>
    <row r="1254" spans="1:2" x14ac:dyDescent="0.2">
      <c r="A1254" t="s">
        <v>7047</v>
      </c>
      <c r="B1254" t="s">
        <v>7048</v>
      </c>
    </row>
    <row r="1255" spans="1:2" x14ac:dyDescent="0.2">
      <c r="A1255" t="s">
        <v>7049</v>
      </c>
      <c r="B1255" t="s">
        <v>7050</v>
      </c>
    </row>
    <row r="1256" spans="1:2" x14ac:dyDescent="0.2">
      <c r="A1256" t="s">
        <v>4079</v>
      </c>
      <c r="B1256" t="s">
        <v>7051</v>
      </c>
    </row>
    <row r="1257" spans="1:2" x14ac:dyDescent="0.2">
      <c r="A1257" t="s">
        <v>4082</v>
      </c>
      <c r="B1257" t="s">
        <v>7051</v>
      </c>
    </row>
    <row r="1258" spans="1:2" x14ac:dyDescent="0.2">
      <c r="A1258" t="s">
        <v>7052</v>
      </c>
      <c r="B1258" t="s">
        <v>7051</v>
      </c>
    </row>
    <row r="1259" spans="1:2" x14ac:dyDescent="0.2">
      <c r="A1259" t="s">
        <v>4083</v>
      </c>
      <c r="B1259" t="s">
        <v>7053</v>
      </c>
    </row>
    <row r="1260" spans="1:2" x14ac:dyDescent="0.2">
      <c r="A1260" t="s">
        <v>4086</v>
      </c>
      <c r="B1260" t="s">
        <v>7053</v>
      </c>
    </row>
    <row r="1261" spans="1:2" x14ac:dyDescent="0.2">
      <c r="A1261" t="s">
        <v>7054</v>
      </c>
      <c r="B1261" t="s">
        <v>7055</v>
      </c>
    </row>
    <row r="1262" spans="1:2" x14ac:dyDescent="0.2">
      <c r="A1262" t="s">
        <v>7056</v>
      </c>
      <c r="B1262" t="s">
        <v>7057</v>
      </c>
    </row>
    <row r="1263" spans="1:2" x14ac:dyDescent="0.2">
      <c r="A1263" t="s">
        <v>4087</v>
      </c>
      <c r="B1263" t="s">
        <v>7058</v>
      </c>
    </row>
    <row r="1264" spans="1:2" x14ac:dyDescent="0.2">
      <c r="A1264" t="s">
        <v>4089</v>
      </c>
      <c r="B1264" t="s">
        <v>7059</v>
      </c>
    </row>
    <row r="1265" spans="1:2" x14ac:dyDescent="0.2">
      <c r="A1265" t="s">
        <v>4092</v>
      </c>
      <c r="B1265" t="s">
        <v>7059</v>
      </c>
    </row>
    <row r="1266" spans="1:2" x14ac:dyDescent="0.2">
      <c r="A1266" t="s">
        <v>7060</v>
      </c>
      <c r="B1266" t="s">
        <v>7061</v>
      </c>
    </row>
    <row r="1267" spans="1:2" x14ac:dyDescent="0.2">
      <c r="A1267" t="s">
        <v>7062</v>
      </c>
      <c r="B1267" t="s">
        <v>7063</v>
      </c>
    </row>
    <row r="1268" spans="1:2" x14ac:dyDescent="0.2">
      <c r="A1268" t="s">
        <v>7064</v>
      </c>
      <c r="B1268" t="s">
        <v>7065</v>
      </c>
    </row>
    <row r="1269" spans="1:2" x14ac:dyDescent="0.2">
      <c r="A1269" t="s">
        <v>7066</v>
      </c>
      <c r="B1269" t="s">
        <v>7067</v>
      </c>
    </row>
    <row r="1270" spans="1:2" x14ac:dyDescent="0.2">
      <c r="A1270" t="s">
        <v>7068</v>
      </c>
      <c r="B1270" t="s">
        <v>7069</v>
      </c>
    </row>
    <row r="1271" spans="1:2" x14ac:dyDescent="0.2">
      <c r="A1271" t="s">
        <v>4093</v>
      </c>
      <c r="B1271" t="s">
        <v>7070</v>
      </c>
    </row>
    <row r="1272" spans="1:2" x14ac:dyDescent="0.2">
      <c r="A1272" t="s">
        <v>4096</v>
      </c>
      <c r="B1272" t="s">
        <v>7071</v>
      </c>
    </row>
    <row r="1273" spans="1:2" x14ac:dyDescent="0.2">
      <c r="A1273" t="s">
        <v>7072</v>
      </c>
      <c r="B1273" t="s">
        <v>7071</v>
      </c>
    </row>
    <row r="1274" spans="1:2" x14ac:dyDescent="0.2">
      <c r="A1274" t="s">
        <v>4099</v>
      </c>
      <c r="B1274" t="s">
        <v>7073</v>
      </c>
    </row>
    <row r="1275" spans="1:2" x14ac:dyDescent="0.2">
      <c r="A1275" t="s">
        <v>7074</v>
      </c>
      <c r="B1275" t="s">
        <v>7073</v>
      </c>
    </row>
    <row r="1276" spans="1:2" x14ac:dyDescent="0.2">
      <c r="A1276" t="s">
        <v>4101</v>
      </c>
      <c r="B1276" t="s">
        <v>7075</v>
      </c>
    </row>
    <row r="1277" spans="1:2" x14ac:dyDescent="0.2">
      <c r="A1277" t="s">
        <v>4104</v>
      </c>
      <c r="B1277" t="s">
        <v>7075</v>
      </c>
    </row>
    <row r="1278" spans="1:2" x14ac:dyDescent="0.2">
      <c r="A1278" t="s">
        <v>7076</v>
      </c>
      <c r="B1278" t="s">
        <v>7077</v>
      </c>
    </row>
    <row r="1279" spans="1:2" x14ac:dyDescent="0.2">
      <c r="A1279" t="s">
        <v>7078</v>
      </c>
      <c r="B1279" t="s">
        <v>7079</v>
      </c>
    </row>
    <row r="1280" spans="1:2" x14ac:dyDescent="0.2">
      <c r="A1280" t="s">
        <v>7080</v>
      </c>
      <c r="B1280" t="s">
        <v>7081</v>
      </c>
    </row>
    <row r="1281" spans="1:2" x14ac:dyDescent="0.2">
      <c r="A1281" t="s">
        <v>7082</v>
      </c>
      <c r="B1281" t="s">
        <v>7083</v>
      </c>
    </row>
    <row r="1282" spans="1:2" x14ac:dyDescent="0.2">
      <c r="A1282" t="s">
        <v>7084</v>
      </c>
      <c r="B1282" t="s">
        <v>7085</v>
      </c>
    </row>
    <row r="1283" spans="1:2" x14ac:dyDescent="0.2">
      <c r="A1283" t="s">
        <v>4105</v>
      </c>
      <c r="B1283" t="s">
        <v>7086</v>
      </c>
    </row>
    <row r="1284" spans="1:2" x14ac:dyDescent="0.2">
      <c r="A1284" t="s">
        <v>4107</v>
      </c>
      <c r="B1284" t="s">
        <v>7087</v>
      </c>
    </row>
    <row r="1285" spans="1:2" x14ac:dyDescent="0.2">
      <c r="A1285" t="s">
        <v>4109</v>
      </c>
      <c r="B1285" t="s">
        <v>7088</v>
      </c>
    </row>
    <row r="1286" spans="1:2" x14ac:dyDescent="0.2">
      <c r="A1286" t="s">
        <v>4112</v>
      </c>
      <c r="B1286" t="s">
        <v>7089</v>
      </c>
    </row>
    <row r="1287" spans="1:2" x14ac:dyDescent="0.2">
      <c r="A1287" t="s">
        <v>7090</v>
      </c>
      <c r="B1287" t="s">
        <v>7089</v>
      </c>
    </row>
    <row r="1288" spans="1:2" x14ac:dyDescent="0.2">
      <c r="A1288" t="s">
        <v>4115</v>
      </c>
      <c r="B1288" t="s">
        <v>7091</v>
      </c>
    </row>
    <row r="1289" spans="1:2" x14ac:dyDescent="0.2">
      <c r="A1289" t="s">
        <v>7092</v>
      </c>
      <c r="B1289" t="s">
        <v>7091</v>
      </c>
    </row>
    <row r="1290" spans="1:2" x14ac:dyDescent="0.2">
      <c r="A1290" t="s">
        <v>4118</v>
      </c>
      <c r="B1290" t="s">
        <v>7093</v>
      </c>
    </row>
    <row r="1291" spans="1:2" x14ac:dyDescent="0.2">
      <c r="A1291" t="s">
        <v>7094</v>
      </c>
      <c r="B1291" t="s">
        <v>7093</v>
      </c>
    </row>
    <row r="1292" spans="1:2" x14ac:dyDescent="0.2">
      <c r="A1292" t="s">
        <v>4121</v>
      </c>
      <c r="B1292" t="s">
        <v>7095</v>
      </c>
    </row>
    <row r="1293" spans="1:2" x14ac:dyDescent="0.2">
      <c r="A1293" t="s">
        <v>7096</v>
      </c>
      <c r="B1293" t="s">
        <v>7095</v>
      </c>
    </row>
    <row r="1294" spans="1:2" x14ac:dyDescent="0.2">
      <c r="A1294" t="s">
        <v>4124</v>
      </c>
      <c r="B1294" t="s">
        <v>7097</v>
      </c>
    </row>
    <row r="1295" spans="1:2" x14ac:dyDescent="0.2">
      <c r="A1295" t="s">
        <v>7098</v>
      </c>
      <c r="B1295" t="s">
        <v>7097</v>
      </c>
    </row>
    <row r="1296" spans="1:2" x14ac:dyDescent="0.2">
      <c r="A1296" t="s">
        <v>4126</v>
      </c>
      <c r="B1296" t="s">
        <v>7099</v>
      </c>
    </row>
    <row r="1297" spans="1:2" x14ac:dyDescent="0.2">
      <c r="A1297" t="s">
        <v>4129</v>
      </c>
      <c r="B1297" t="s">
        <v>7100</v>
      </c>
    </row>
    <row r="1298" spans="1:2" x14ac:dyDescent="0.2">
      <c r="A1298" t="s">
        <v>7101</v>
      </c>
      <c r="B1298" t="s">
        <v>7100</v>
      </c>
    </row>
    <row r="1299" spans="1:2" x14ac:dyDescent="0.2">
      <c r="A1299" t="s">
        <v>4132</v>
      </c>
      <c r="B1299" t="s">
        <v>7102</v>
      </c>
    </row>
    <row r="1300" spans="1:2" x14ac:dyDescent="0.2">
      <c r="A1300" t="s">
        <v>7103</v>
      </c>
      <c r="B1300" t="s">
        <v>7102</v>
      </c>
    </row>
    <row r="1301" spans="1:2" x14ac:dyDescent="0.2">
      <c r="A1301" t="s">
        <v>4134</v>
      </c>
      <c r="B1301" t="s">
        <v>7104</v>
      </c>
    </row>
    <row r="1302" spans="1:2" x14ac:dyDescent="0.2">
      <c r="A1302" t="s">
        <v>4136</v>
      </c>
      <c r="B1302" t="s">
        <v>7105</v>
      </c>
    </row>
    <row r="1303" spans="1:2" x14ac:dyDescent="0.2">
      <c r="A1303" t="s">
        <v>4139</v>
      </c>
      <c r="B1303" t="s">
        <v>7106</v>
      </c>
    </row>
    <row r="1304" spans="1:2" x14ac:dyDescent="0.2">
      <c r="A1304" t="s">
        <v>7107</v>
      </c>
      <c r="B1304" t="s">
        <v>7106</v>
      </c>
    </row>
    <row r="1305" spans="1:2" x14ac:dyDescent="0.2">
      <c r="A1305" t="s">
        <v>4142</v>
      </c>
      <c r="B1305" t="s">
        <v>7108</v>
      </c>
    </row>
    <row r="1306" spans="1:2" x14ac:dyDescent="0.2">
      <c r="A1306" t="s">
        <v>7109</v>
      </c>
      <c r="B1306" t="s">
        <v>7108</v>
      </c>
    </row>
    <row r="1307" spans="1:2" x14ac:dyDescent="0.2">
      <c r="A1307" t="s">
        <v>4145</v>
      </c>
      <c r="B1307" t="s">
        <v>7110</v>
      </c>
    </row>
    <row r="1308" spans="1:2" x14ac:dyDescent="0.2">
      <c r="A1308" t="s">
        <v>7111</v>
      </c>
      <c r="B1308" t="s">
        <v>7110</v>
      </c>
    </row>
    <row r="1309" spans="1:2" x14ac:dyDescent="0.2">
      <c r="A1309" t="s">
        <v>4148</v>
      </c>
      <c r="B1309" t="s">
        <v>7112</v>
      </c>
    </row>
    <row r="1310" spans="1:2" x14ac:dyDescent="0.2">
      <c r="A1310" t="s">
        <v>7113</v>
      </c>
      <c r="B1310" t="s">
        <v>7112</v>
      </c>
    </row>
    <row r="1311" spans="1:2" x14ac:dyDescent="0.2">
      <c r="A1311" t="s">
        <v>4150</v>
      </c>
      <c r="B1311" t="s">
        <v>7114</v>
      </c>
    </row>
    <row r="1312" spans="1:2" x14ac:dyDescent="0.2">
      <c r="A1312" t="s">
        <v>4153</v>
      </c>
      <c r="B1312" t="s">
        <v>7114</v>
      </c>
    </row>
    <row r="1313" spans="1:2" x14ac:dyDescent="0.2">
      <c r="A1313" t="s">
        <v>7115</v>
      </c>
      <c r="B1313" t="s">
        <v>7116</v>
      </c>
    </row>
    <row r="1314" spans="1:2" x14ac:dyDescent="0.2">
      <c r="A1314" t="s">
        <v>7117</v>
      </c>
      <c r="B1314" t="s">
        <v>7118</v>
      </c>
    </row>
    <row r="1315" spans="1:2" x14ac:dyDescent="0.2">
      <c r="A1315" t="s">
        <v>7119</v>
      </c>
      <c r="B1315" t="s">
        <v>7120</v>
      </c>
    </row>
    <row r="1316" spans="1:2" x14ac:dyDescent="0.2">
      <c r="A1316" t="s">
        <v>4154</v>
      </c>
      <c r="B1316" t="s">
        <v>7121</v>
      </c>
    </row>
    <row r="1317" spans="1:2" x14ac:dyDescent="0.2">
      <c r="A1317" t="s">
        <v>4156</v>
      </c>
      <c r="B1317" t="s">
        <v>7122</v>
      </c>
    </row>
    <row r="1318" spans="1:2" x14ac:dyDescent="0.2">
      <c r="A1318" t="s">
        <v>4159</v>
      </c>
      <c r="B1318" t="s">
        <v>7122</v>
      </c>
    </row>
    <row r="1319" spans="1:2" x14ac:dyDescent="0.2">
      <c r="A1319" t="s">
        <v>7123</v>
      </c>
      <c r="B1319" t="s">
        <v>7122</v>
      </c>
    </row>
    <row r="1320" spans="1:2" x14ac:dyDescent="0.2">
      <c r="A1320" t="s">
        <v>4160</v>
      </c>
      <c r="B1320" t="s">
        <v>7124</v>
      </c>
    </row>
    <row r="1321" spans="1:2" x14ac:dyDescent="0.2">
      <c r="A1321" t="s">
        <v>4163</v>
      </c>
      <c r="B1321" t="s">
        <v>7124</v>
      </c>
    </row>
    <row r="1322" spans="1:2" x14ac:dyDescent="0.2">
      <c r="A1322" t="s">
        <v>7125</v>
      </c>
      <c r="B1322" t="s">
        <v>7124</v>
      </c>
    </row>
    <row r="1323" spans="1:2" x14ac:dyDescent="0.2">
      <c r="A1323" t="s">
        <v>4164</v>
      </c>
      <c r="B1323" t="s">
        <v>7126</v>
      </c>
    </row>
    <row r="1324" spans="1:2" x14ac:dyDescent="0.2">
      <c r="A1324" t="s">
        <v>4166</v>
      </c>
      <c r="B1324" t="s">
        <v>7127</v>
      </c>
    </row>
    <row r="1325" spans="1:2" x14ac:dyDescent="0.2">
      <c r="A1325" t="s">
        <v>4169</v>
      </c>
      <c r="B1325" t="s">
        <v>7127</v>
      </c>
    </row>
    <row r="1326" spans="1:2" x14ac:dyDescent="0.2">
      <c r="A1326" t="s">
        <v>7128</v>
      </c>
      <c r="B1326" t="s">
        <v>7127</v>
      </c>
    </row>
    <row r="1327" spans="1:2" x14ac:dyDescent="0.2">
      <c r="A1327" t="s">
        <v>4170</v>
      </c>
      <c r="B1327" t="s">
        <v>7129</v>
      </c>
    </row>
    <row r="1328" spans="1:2" x14ac:dyDescent="0.2">
      <c r="A1328" t="s">
        <v>4173</v>
      </c>
      <c r="B1328" t="s">
        <v>7129</v>
      </c>
    </row>
    <row r="1329" spans="1:2" x14ac:dyDescent="0.2">
      <c r="A1329" t="s">
        <v>7130</v>
      </c>
      <c r="B1329" t="s">
        <v>7129</v>
      </c>
    </row>
    <row r="1330" spans="1:2" x14ac:dyDescent="0.2">
      <c r="A1330" t="s">
        <v>4174</v>
      </c>
      <c r="B1330" t="s">
        <v>7131</v>
      </c>
    </row>
    <row r="1331" spans="1:2" x14ac:dyDescent="0.2">
      <c r="A1331" t="s">
        <v>4177</v>
      </c>
      <c r="B1331" t="s">
        <v>7131</v>
      </c>
    </row>
    <row r="1332" spans="1:2" x14ac:dyDescent="0.2">
      <c r="A1332" t="s">
        <v>7132</v>
      </c>
      <c r="B1332" t="s">
        <v>7131</v>
      </c>
    </row>
    <row r="1333" spans="1:2" x14ac:dyDescent="0.2">
      <c r="A1333" t="s">
        <v>4178</v>
      </c>
      <c r="B1333" t="s">
        <v>7133</v>
      </c>
    </row>
    <row r="1334" spans="1:2" x14ac:dyDescent="0.2">
      <c r="A1334" t="s">
        <v>4181</v>
      </c>
      <c r="B1334" t="s">
        <v>7133</v>
      </c>
    </row>
    <row r="1335" spans="1:2" x14ac:dyDescent="0.2">
      <c r="A1335" t="s">
        <v>7134</v>
      </c>
      <c r="B1335" t="s">
        <v>7135</v>
      </c>
    </row>
    <row r="1336" spans="1:2" x14ac:dyDescent="0.2">
      <c r="A1336" t="s">
        <v>7136</v>
      </c>
      <c r="B1336" t="s">
        <v>7137</v>
      </c>
    </row>
    <row r="1337" spans="1:2" x14ac:dyDescent="0.2">
      <c r="A1337" t="s">
        <v>4182</v>
      </c>
      <c r="B1337" t="s">
        <v>7138</v>
      </c>
    </row>
    <row r="1338" spans="1:2" x14ac:dyDescent="0.2">
      <c r="A1338" t="s">
        <v>4184</v>
      </c>
      <c r="B1338" t="s">
        <v>7138</v>
      </c>
    </row>
    <row r="1339" spans="1:2" x14ac:dyDescent="0.2">
      <c r="A1339" t="s">
        <v>4186</v>
      </c>
      <c r="B1339" t="s">
        <v>7139</v>
      </c>
    </row>
    <row r="1340" spans="1:2" x14ac:dyDescent="0.2">
      <c r="A1340" t="s">
        <v>7140</v>
      </c>
      <c r="B1340" t="s">
        <v>7141</v>
      </c>
    </row>
    <row r="1341" spans="1:2" x14ac:dyDescent="0.2">
      <c r="A1341" t="s">
        <v>7142</v>
      </c>
      <c r="B1341" t="s">
        <v>7143</v>
      </c>
    </row>
    <row r="1342" spans="1:2" x14ac:dyDescent="0.2">
      <c r="A1342" t="s">
        <v>4189</v>
      </c>
      <c r="B1342" t="s">
        <v>7144</v>
      </c>
    </row>
    <row r="1343" spans="1:2" x14ac:dyDescent="0.2">
      <c r="A1343" t="s">
        <v>7145</v>
      </c>
      <c r="B1343" t="s">
        <v>7144</v>
      </c>
    </row>
    <row r="1344" spans="1:2" x14ac:dyDescent="0.2">
      <c r="A1344" t="s">
        <v>4192</v>
      </c>
      <c r="B1344" t="s">
        <v>7146</v>
      </c>
    </row>
    <row r="1345" spans="1:2" x14ac:dyDescent="0.2">
      <c r="A1345" t="s">
        <v>7147</v>
      </c>
      <c r="B1345" t="s">
        <v>7146</v>
      </c>
    </row>
    <row r="1346" spans="1:2" x14ac:dyDescent="0.2">
      <c r="A1346" t="s">
        <v>4195</v>
      </c>
      <c r="B1346" t="s">
        <v>7148</v>
      </c>
    </row>
    <row r="1347" spans="1:2" x14ac:dyDescent="0.2">
      <c r="A1347" t="s">
        <v>7149</v>
      </c>
      <c r="B1347" t="s">
        <v>7148</v>
      </c>
    </row>
    <row r="1348" spans="1:2" x14ac:dyDescent="0.2">
      <c r="A1348" t="s">
        <v>4197</v>
      </c>
      <c r="B1348" t="s">
        <v>7150</v>
      </c>
    </row>
    <row r="1349" spans="1:2" x14ac:dyDescent="0.2">
      <c r="A1349" t="s">
        <v>4199</v>
      </c>
      <c r="B1349" t="s">
        <v>7151</v>
      </c>
    </row>
    <row r="1350" spans="1:2" x14ac:dyDescent="0.2">
      <c r="A1350" t="s">
        <v>4202</v>
      </c>
      <c r="B1350" t="s">
        <v>7152</v>
      </c>
    </row>
    <row r="1351" spans="1:2" x14ac:dyDescent="0.2">
      <c r="A1351" t="s">
        <v>7153</v>
      </c>
      <c r="B1351" t="s">
        <v>7152</v>
      </c>
    </row>
    <row r="1352" spans="1:2" x14ac:dyDescent="0.2">
      <c r="A1352" t="s">
        <v>4205</v>
      </c>
      <c r="B1352" t="s">
        <v>7154</v>
      </c>
    </row>
    <row r="1353" spans="1:2" x14ac:dyDescent="0.2">
      <c r="A1353" t="s">
        <v>7155</v>
      </c>
      <c r="B1353" t="s">
        <v>7154</v>
      </c>
    </row>
    <row r="1354" spans="1:2" x14ac:dyDescent="0.2">
      <c r="A1354" t="s">
        <v>4207</v>
      </c>
      <c r="B1354" t="s">
        <v>7156</v>
      </c>
    </row>
    <row r="1355" spans="1:2" x14ac:dyDescent="0.2">
      <c r="A1355" t="s">
        <v>4210</v>
      </c>
      <c r="B1355" t="s">
        <v>7157</v>
      </c>
    </row>
    <row r="1356" spans="1:2" x14ac:dyDescent="0.2">
      <c r="A1356" t="s">
        <v>7158</v>
      </c>
      <c r="B1356" t="s">
        <v>7157</v>
      </c>
    </row>
    <row r="1357" spans="1:2" x14ac:dyDescent="0.2">
      <c r="A1357" t="s">
        <v>4213</v>
      </c>
      <c r="B1357" t="s">
        <v>7159</v>
      </c>
    </row>
    <row r="1358" spans="1:2" x14ac:dyDescent="0.2">
      <c r="A1358" t="s">
        <v>7160</v>
      </c>
      <c r="B1358" t="s">
        <v>7159</v>
      </c>
    </row>
    <row r="1359" spans="1:2" x14ac:dyDescent="0.2">
      <c r="A1359" t="s">
        <v>4215</v>
      </c>
      <c r="B1359" t="s">
        <v>7161</v>
      </c>
    </row>
    <row r="1360" spans="1:2" x14ac:dyDescent="0.2">
      <c r="A1360" t="s">
        <v>4217</v>
      </c>
      <c r="B1360" t="s">
        <v>7162</v>
      </c>
    </row>
    <row r="1361" spans="1:2" x14ac:dyDescent="0.2">
      <c r="A1361" t="s">
        <v>4219</v>
      </c>
      <c r="B1361" t="s">
        <v>7163</v>
      </c>
    </row>
    <row r="1362" spans="1:2" x14ac:dyDescent="0.2">
      <c r="A1362" t="s">
        <v>4222</v>
      </c>
      <c r="B1362" t="s">
        <v>7164</v>
      </c>
    </row>
    <row r="1363" spans="1:2" x14ac:dyDescent="0.2">
      <c r="A1363" t="s">
        <v>7165</v>
      </c>
      <c r="B1363" t="s">
        <v>7164</v>
      </c>
    </row>
    <row r="1364" spans="1:2" x14ac:dyDescent="0.2">
      <c r="A1364" t="s">
        <v>4225</v>
      </c>
      <c r="B1364" t="s">
        <v>7166</v>
      </c>
    </row>
    <row r="1365" spans="1:2" x14ac:dyDescent="0.2">
      <c r="A1365" t="s">
        <v>7167</v>
      </c>
      <c r="B1365" t="s">
        <v>7168</v>
      </c>
    </row>
    <row r="1366" spans="1:2" x14ac:dyDescent="0.2">
      <c r="A1366" t="s">
        <v>7169</v>
      </c>
      <c r="B1366" t="s">
        <v>7170</v>
      </c>
    </row>
    <row r="1367" spans="1:2" x14ac:dyDescent="0.2">
      <c r="A1367" t="s">
        <v>7171</v>
      </c>
      <c r="B1367" t="s">
        <v>7172</v>
      </c>
    </row>
    <row r="1368" spans="1:2" x14ac:dyDescent="0.2">
      <c r="A1368" t="s">
        <v>7173</v>
      </c>
      <c r="B1368" t="s">
        <v>7174</v>
      </c>
    </row>
    <row r="1369" spans="1:2" x14ac:dyDescent="0.2">
      <c r="A1369" t="s">
        <v>7175</v>
      </c>
      <c r="B1369" t="s">
        <v>7176</v>
      </c>
    </row>
    <row r="1370" spans="1:2" x14ac:dyDescent="0.2">
      <c r="A1370" t="s">
        <v>7177</v>
      </c>
      <c r="B1370" t="s">
        <v>7178</v>
      </c>
    </row>
    <row r="1371" spans="1:2" x14ac:dyDescent="0.2">
      <c r="A1371" t="s">
        <v>4227</v>
      </c>
      <c r="B1371" t="s">
        <v>7179</v>
      </c>
    </row>
    <row r="1372" spans="1:2" x14ac:dyDescent="0.2">
      <c r="A1372" t="s">
        <v>4230</v>
      </c>
      <c r="B1372" t="s">
        <v>7179</v>
      </c>
    </row>
    <row r="1373" spans="1:2" x14ac:dyDescent="0.2">
      <c r="A1373" t="s">
        <v>7180</v>
      </c>
      <c r="B1373" t="s">
        <v>7179</v>
      </c>
    </row>
    <row r="1374" spans="1:2" x14ac:dyDescent="0.2">
      <c r="A1374" t="s">
        <v>4231</v>
      </c>
      <c r="B1374" t="s">
        <v>7181</v>
      </c>
    </row>
    <row r="1375" spans="1:2" x14ac:dyDescent="0.2">
      <c r="A1375" t="s">
        <v>4234</v>
      </c>
      <c r="B1375" t="s">
        <v>7181</v>
      </c>
    </row>
    <row r="1376" spans="1:2" x14ac:dyDescent="0.2">
      <c r="A1376" t="s">
        <v>7182</v>
      </c>
      <c r="B1376" t="s">
        <v>7181</v>
      </c>
    </row>
    <row r="1377" spans="1:2" x14ac:dyDescent="0.2">
      <c r="A1377" t="s">
        <v>4235</v>
      </c>
      <c r="B1377" t="s">
        <v>7183</v>
      </c>
    </row>
    <row r="1378" spans="1:2" x14ac:dyDescent="0.2">
      <c r="A1378" t="s">
        <v>4238</v>
      </c>
      <c r="B1378" t="s">
        <v>7184</v>
      </c>
    </row>
    <row r="1379" spans="1:2" x14ac:dyDescent="0.2">
      <c r="A1379" t="s">
        <v>7185</v>
      </c>
      <c r="B1379" t="s">
        <v>7184</v>
      </c>
    </row>
    <row r="1380" spans="1:2" x14ac:dyDescent="0.2">
      <c r="A1380" t="s">
        <v>4241</v>
      </c>
      <c r="B1380" t="s">
        <v>7186</v>
      </c>
    </row>
    <row r="1381" spans="1:2" x14ac:dyDescent="0.2">
      <c r="A1381" t="s">
        <v>7187</v>
      </c>
      <c r="B1381" t="s">
        <v>7188</v>
      </c>
    </row>
    <row r="1382" spans="1:2" x14ac:dyDescent="0.2">
      <c r="A1382" t="s">
        <v>7189</v>
      </c>
      <c r="B1382" t="s">
        <v>7190</v>
      </c>
    </row>
    <row r="1383" spans="1:2" x14ac:dyDescent="0.2">
      <c r="A1383" t="s">
        <v>4244</v>
      </c>
      <c r="B1383" t="s">
        <v>7191</v>
      </c>
    </row>
    <row r="1384" spans="1:2" x14ac:dyDescent="0.2">
      <c r="A1384" t="s">
        <v>7192</v>
      </c>
      <c r="B1384" t="s">
        <v>7193</v>
      </c>
    </row>
    <row r="1385" spans="1:2" x14ac:dyDescent="0.2">
      <c r="A1385" t="s">
        <v>7194</v>
      </c>
      <c r="B1385" t="s">
        <v>7195</v>
      </c>
    </row>
    <row r="1386" spans="1:2" x14ac:dyDescent="0.2">
      <c r="A1386" t="s">
        <v>4246</v>
      </c>
      <c r="B1386" t="s">
        <v>7196</v>
      </c>
    </row>
    <row r="1387" spans="1:2" x14ac:dyDescent="0.2">
      <c r="A1387" t="s">
        <v>4248</v>
      </c>
      <c r="B1387" t="s">
        <v>7197</v>
      </c>
    </row>
    <row r="1388" spans="1:2" x14ac:dyDescent="0.2">
      <c r="A1388" t="s">
        <v>4251</v>
      </c>
      <c r="B1388" t="s">
        <v>7198</v>
      </c>
    </row>
    <row r="1389" spans="1:2" x14ac:dyDescent="0.2">
      <c r="A1389" t="s">
        <v>7199</v>
      </c>
      <c r="B1389" t="s">
        <v>7198</v>
      </c>
    </row>
    <row r="1390" spans="1:2" x14ac:dyDescent="0.2">
      <c r="A1390" t="s">
        <v>4254</v>
      </c>
      <c r="B1390" t="s">
        <v>7200</v>
      </c>
    </row>
    <row r="1391" spans="1:2" x14ac:dyDescent="0.2">
      <c r="A1391" t="s">
        <v>7201</v>
      </c>
      <c r="B1391" t="s">
        <v>7202</v>
      </c>
    </row>
    <row r="1392" spans="1:2" x14ac:dyDescent="0.2">
      <c r="A1392" t="s">
        <v>7203</v>
      </c>
      <c r="B1392" t="s">
        <v>7204</v>
      </c>
    </row>
    <row r="1393" spans="1:2" x14ac:dyDescent="0.2">
      <c r="A1393" t="s">
        <v>4256</v>
      </c>
      <c r="B1393" t="s">
        <v>7205</v>
      </c>
    </row>
    <row r="1394" spans="1:2" x14ac:dyDescent="0.2">
      <c r="A1394" t="s">
        <v>4259</v>
      </c>
      <c r="B1394" t="s">
        <v>7205</v>
      </c>
    </row>
    <row r="1395" spans="1:2" x14ac:dyDescent="0.2">
      <c r="A1395" t="s">
        <v>7206</v>
      </c>
      <c r="B1395" t="s">
        <v>7205</v>
      </c>
    </row>
    <row r="1396" spans="1:2" x14ac:dyDescent="0.2">
      <c r="A1396" t="s">
        <v>4260</v>
      </c>
      <c r="B1396" t="s">
        <v>7207</v>
      </c>
    </row>
    <row r="1397" spans="1:2" x14ac:dyDescent="0.2">
      <c r="A1397" t="s">
        <v>4263</v>
      </c>
      <c r="B1397" t="s">
        <v>7207</v>
      </c>
    </row>
    <row r="1398" spans="1:2" x14ac:dyDescent="0.2">
      <c r="A1398" t="s">
        <v>7208</v>
      </c>
      <c r="B1398" t="s">
        <v>7207</v>
      </c>
    </row>
    <row r="1399" spans="1:2" x14ac:dyDescent="0.2">
      <c r="A1399" t="s">
        <v>4264</v>
      </c>
      <c r="B1399" t="s">
        <v>7209</v>
      </c>
    </row>
    <row r="1400" spans="1:2" x14ac:dyDescent="0.2">
      <c r="A1400" t="s">
        <v>4266</v>
      </c>
      <c r="B1400" t="s">
        <v>7210</v>
      </c>
    </row>
    <row r="1401" spans="1:2" x14ac:dyDescent="0.2">
      <c r="A1401" t="s">
        <v>4269</v>
      </c>
      <c r="B1401" t="s">
        <v>7211</v>
      </c>
    </row>
    <row r="1402" spans="1:2" x14ac:dyDescent="0.2">
      <c r="A1402" t="s">
        <v>7212</v>
      </c>
      <c r="B1402" t="s">
        <v>7211</v>
      </c>
    </row>
    <row r="1403" spans="1:2" x14ac:dyDescent="0.2">
      <c r="A1403" t="s">
        <v>4272</v>
      </c>
      <c r="B1403" t="s">
        <v>7213</v>
      </c>
    </row>
    <row r="1404" spans="1:2" x14ac:dyDescent="0.2">
      <c r="A1404" t="s">
        <v>7214</v>
      </c>
      <c r="B1404" t="s">
        <v>7213</v>
      </c>
    </row>
    <row r="1405" spans="1:2" x14ac:dyDescent="0.2">
      <c r="A1405" t="s">
        <v>4275</v>
      </c>
      <c r="B1405" t="s">
        <v>7215</v>
      </c>
    </row>
    <row r="1406" spans="1:2" x14ac:dyDescent="0.2">
      <c r="A1406" t="s">
        <v>7216</v>
      </c>
      <c r="B1406" t="s">
        <v>7215</v>
      </c>
    </row>
    <row r="1407" spans="1:2" x14ac:dyDescent="0.2">
      <c r="A1407" t="s">
        <v>4277</v>
      </c>
      <c r="B1407" t="s">
        <v>7217</v>
      </c>
    </row>
    <row r="1408" spans="1:2" x14ac:dyDescent="0.2">
      <c r="A1408" t="s">
        <v>4280</v>
      </c>
      <c r="B1408" t="s">
        <v>7218</v>
      </c>
    </row>
    <row r="1409" spans="1:2" x14ac:dyDescent="0.2">
      <c r="A1409" t="s">
        <v>7219</v>
      </c>
      <c r="B1409" t="s">
        <v>7218</v>
      </c>
    </row>
    <row r="1410" spans="1:2" x14ac:dyDescent="0.2">
      <c r="A1410" t="s">
        <v>4283</v>
      </c>
      <c r="B1410" t="s">
        <v>7220</v>
      </c>
    </row>
    <row r="1411" spans="1:2" x14ac:dyDescent="0.2">
      <c r="A1411" t="s">
        <v>7221</v>
      </c>
      <c r="B1411" t="s">
        <v>7220</v>
      </c>
    </row>
    <row r="1412" spans="1:2" x14ac:dyDescent="0.2">
      <c r="A1412" t="s">
        <v>4286</v>
      </c>
      <c r="B1412" t="s">
        <v>7222</v>
      </c>
    </row>
    <row r="1413" spans="1:2" x14ac:dyDescent="0.2">
      <c r="A1413" t="s">
        <v>7223</v>
      </c>
      <c r="B1413" t="s">
        <v>7222</v>
      </c>
    </row>
    <row r="1414" spans="1:2" x14ac:dyDescent="0.2">
      <c r="A1414" t="s">
        <v>4288</v>
      </c>
      <c r="B1414" t="s">
        <v>7224</v>
      </c>
    </row>
    <row r="1415" spans="1:2" x14ac:dyDescent="0.2">
      <c r="A1415" t="s">
        <v>4291</v>
      </c>
      <c r="B1415" t="s">
        <v>7224</v>
      </c>
    </row>
    <row r="1416" spans="1:2" x14ac:dyDescent="0.2">
      <c r="A1416" t="s">
        <v>7225</v>
      </c>
      <c r="B1416" t="s">
        <v>7224</v>
      </c>
    </row>
    <row r="1417" spans="1:2" x14ac:dyDescent="0.2">
      <c r="A1417" t="s">
        <v>4292</v>
      </c>
      <c r="B1417" t="s">
        <v>7226</v>
      </c>
    </row>
    <row r="1418" spans="1:2" x14ac:dyDescent="0.2">
      <c r="A1418" t="s">
        <v>4294</v>
      </c>
      <c r="B1418" t="s">
        <v>7226</v>
      </c>
    </row>
    <row r="1419" spans="1:2" x14ac:dyDescent="0.2">
      <c r="A1419" t="s">
        <v>4295</v>
      </c>
      <c r="B1419" t="s">
        <v>7227</v>
      </c>
    </row>
    <row r="1420" spans="1:2" x14ac:dyDescent="0.2">
      <c r="A1420" t="s">
        <v>4298</v>
      </c>
      <c r="B1420" t="s">
        <v>7227</v>
      </c>
    </row>
    <row r="1421" spans="1:2" x14ac:dyDescent="0.2">
      <c r="A1421" t="s">
        <v>7228</v>
      </c>
      <c r="B1421" t="s">
        <v>7229</v>
      </c>
    </row>
    <row r="1422" spans="1:2" x14ac:dyDescent="0.2">
      <c r="A1422" t="s">
        <v>7230</v>
      </c>
      <c r="B1422" t="s">
        <v>7231</v>
      </c>
    </row>
    <row r="1423" spans="1:2" x14ac:dyDescent="0.2">
      <c r="A1423" t="s">
        <v>4299</v>
      </c>
      <c r="B1423" t="s">
        <v>7232</v>
      </c>
    </row>
    <row r="1424" spans="1:2" x14ac:dyDescent="0.2">
      <c r="A1424" t="s">
        <v>4302</v>
      </c>
      <c r="B1424" t="s">
        <v>7232</v>
      </c>
    </row>
    <row r="1425" spans="1:2" x14ac:dyDescent="0.2">
      <c r="A1425" t="s">
        <v>7233</v>
      </c>
      <c r="B1425" t="s">
        <v>7234</v>
      </c>
    </row>
    <row r="1426" spans="1:2" x14ac:dyDescent="0.2">
      <c r="A1426" t="s">
        <v>7235</v>
      </c>
      <c r="B1426" t="s">
        <v>7236</v>
      </c>
    </row>
    <row r="1427" spans="1:2" x14ac:dyDescent="0.2">
      <c r="A1427" t="s">
        <v>4303</v>
      </c>
      <c r="B1427" t="s">
        <v>7237</v>
      </c>
    </row>
    <row r="1428" spans="1:2" x14ac:dyDescent="0.2">
      <c r="A1428" t="s">
        <v>4306</v>
      </c>
      <c r="B1428" t="s">
        <v>7238</v>
      </c>
    </row>
    <row r="1429" spans="1:2" x14ac:dyDescent="0.2">
      <c r="A1429" t="s">
        <v>7239</v>
      </c>
      <c r="B1429" t="s">
        <v>7240</v>
      </c>
    </row>
    <row r="1430" spans="1:2" x14ac:dyDescent="0.2">
      <c r="A1430" t="s">
        <v>7241</v>
      </c>
      <c r="B1430" t="s">
        <v>7242</v>
      </c>
    </row>
    <row r="1431" spans="1:2" x14ac:dyDescent="0.2">
      <c r="A1431" t="s">
        <v>4309</v>
      </c>
      <c r="B1431" t="s">
        <v>7243</v>
      </c>
    </row>
    <row r="1432" spans="1:2" x14ac:dyDescent="0.2">
      <c r="A1432" t="s">
        <v>7244</v>
      </c>
      <c r="B1432" t="s">
        <v>7245</v>
      </c>
    </row>
    <row r="1433" spans="1:2" x14ac:dyDescent="0.2">
      <c r="A1433" t="s">
        <v>7246</v>
      </c>
      <c r="B1433" t="s">
        <v>7247</v>
      </c>
    </row>
    <row r="1434" spans="1:2" x14ac:dyDescent="0.2">
      <c r="A1434" t="s">
        <v>4311</v>
      </c>
      <c r="B1434" t="s">
        <v>7248</v>
      </c>
    </row>
    <row r="1435" spans="1:2" x14ac:dyDescent="0.2">
      <c r="A1435" t="s">
        <v>4313</v>
      </c>
      <c r="B1435" t="s">
        <v>7249</v>
      </c>
    </row>
    <row r="1436" spans="1:2" x14ac:dyDescent="0.2">
      <c r="A1436" t="s">
        <v>4315</v>
      </c>
      <c r="B1436" t="s">
        <v>7250</v>
      </c>
    </row>
    <row r="1437" spans="1:2" x14ac:dyDescent="0.2">
      <c r="A1437" t="s">
        <v>4318</v>
      </c>
      <c r="B1437" t="s">
        <v>7250</v>
      </c>
    </row>
    <row r="1438" spans="1:2" x14ac:dyDescent="0.2">
      <c r="A1438" t="s">
        <v>7251</v>
      </c>
      <c r="B1438" t="s">
        <v>7252</v>
      </c>
    </row>
    <row r="1439" spans="1:2" x14ac:dyDescent="0.2">
      <c r="A1439" t="s">
        <v>7253</v>
      </c>
      <c r="B1439" t="s">
        <v>7254</v>
      </c>
    </row>
    <row r="1440" spans="1:2" x14ac:dyDescent="0.2">
      <c r="A1440" t="s">
        <v>7255</v>
      </c>
      <c r="B1440" t="s">
        <v>7256</v>
      </c>
    </row>
    <row r="1441" spans="1:2" x14ac:dyDescent="0.2">
      <c r="A1441" t="s">
        <v>7257</v>
      </c>
      <c r="B1441" t="s">
        <v>7258</v>
      </c>
    </row>
    <row r="1442" spans="1:2" x14ac:dyDescent="0.2">
      <c r="A1442" t="s">
        <v>7259</v>
      </c>
      <c r="B1442" t="s">
        <v>7260</v>
      </c>
    </row>
    <row r="1443" spans="1:2" x14ac:dyDescent="0.2">
      <c r="A1443" t="s">
        <v>4319</v>
      </c>
      <c r="B1443" t="s">
        <v>7261</v>
      </c>
    </row>
    <row r="1444" spans="1:2" x14ac:dyDescent="0.2">
      <c r="A1444" t="s">
        <v>4322</v>
      </c>
      <c r="B1444" t="s">
        <v>7261</v>
      </c>
    </row>
    <row r="1445" spans="1:2" x14ac:dyDescent="0.2">
      <c r="A1445" t="s">
        <v>7262</v>
      </c>
      <c r="B1445" t="s">
        <v>7263</v>
      </c>
    </row>
    <row r="1446" spans="1:2" x14ac:dyDescent="0.2">
      <c r="A1446" t="s">
        <v>7264</v>
      </c>
      <c r="B1446" t="s">
        <v>7265</v>
      </c>
    </row>
    <row r="1447" spans="1:2" x14ac:dyDescent="0.2">
      <c r="A1447" t="s">
        <v>7266</v>
      </c>
      <c r="B1447" t="s">
        <v>7267</v>
      </c>
    </row>
    <row r="1448" spans="1:2" x14ac:dyDescent="0.2">
      <c r="A1448" t="s">
        <v>7268</v>
      </c>
      <c r="B1448" t="s">
        <v>7269</v>
      </c>
    </row>
    <row r="1449" spans="1:2" x14ac:dyDescent="0.2">
      <c r="A1449" t="s">
        <v>4323</v>
      </c>
      <c r="B1449" t="s">
        <v>7270</v>
      </c>
    </row>
    <row r="1450" spans="1:2" x14ac:dyDescent="0.2">
      <c r="A1450" t="s">
        <v>4325</v>
      </c>
      <c r="B1450" t="s">
        <v>7271</v>
      </c>
    </row>
    <row r="1451" spans="1:2" x14ac:dyDescent="0.2">
      <c r="A1451" t="s">
        <v>4328</v>
      </c>
      <c r="B1451" t="s">
        <v>7271</v>
      </c>
    </row>
    <row r="1452" spans="1:2" x14ac:dyDescent="0.2">
      <c r="A1452" t="s">
        <v>7272</v>
      </c>
      <c r="B1452" t="s">
        <v>7273</v>
      </c>
    </row>
    <row r="1453" spans="1:2" x14ac:dyDescent="0.2">
      <c r="A1453" t="s">
        <v>7274</v>
      </c>
      <c r="B1453" t="s">
        <v>7275</v>
      </c>
    </row>
    <row r="1454" spans="1:2" x14ac:dyDescent="0.2">
      <c r="A1454" t="s">
        <v>4329</v>
      </c>
      <c r="B1454" t="s">
        <v>7276</v>
      </c>
    </row>
    <row r="1455" spans="1:2" x14ac:dyDescent="0.2">
      <c r="A1455" t="s">
        <v>4332</v>
      </c>
      <c r="B1455" t="s">
        <v>7277</v>
      </c>
    </row>
    <row r="1456" spans="1:2" x14ac:dyDescent="0.2">
      <c r="A1456" t="s">
        <v>7278</v>
      </c>
      <c r="B1456" t="s">
        <v>7277</v>
      </c>
    </row>
    <row r="1457" spans="1:2" x14ac:dyDescent="0.2">
      <c r="A1457" t="s">
        <v>4335</v>
      </c>
      <c r="B1457" t="s">
        <v>7279</v>
      </c>
    </row>
    <row r="1458" spans="1:2" x14ac:dyDescent="0.2">
      <c r="A1458" t="s">
        <v>7280</v>
      </c>
      <c r="B1458" t="s">
        <v>7279</v>
      </c>
    </row>
    <row r="1459" spans="1:2" x14ac:dyDescent="0.2">
      <c r="A1459" t="s">
        <v>4337</v>
      </c>
      <c r="B1459" t="s">
        <v>7281</v>
      </c>
    </row>
    <row r="1460" spans="1:2" x14ac:dyDescent="0.2">
      <c r="A1460" t="s">
        <v>4339</v>
      </c>
      <c r="B1460" t="s">
        <v>7282</v>
      </c>
    </row>
    <row r="1461" spans="1:2" x14ac:dyDescent="0.2">
      <c r="A1461" t="s">
        <v>4342</v>
      </c>
      <c r="B1461" t="s">
        <v>7283</v>
      </c>
    </row>
    <row r="1462" spans="1:2" x14ac:dyDescent="0.2">
      <c r="A1462" t="s">
        <v>7284</v>
      </c>
      <c r="B1462" t="s">
        <v>7285</v>
      </c>
    </row>
    <row r="1463" spans="1:2" x14ac:dyDescent="0.2">
      <c r="A1463" t="s">
        <v>7286</v>
      </c>
      <c r="B1463" t="s">
        <v>7287</v>
      </c>
    </row>
    <row r="1464" spans="1:2" x14ac:dyDescent="0.2">
      <c r="A1464" t="s">
        <v>7288</v>
      </c>
      <c r="B1464" t="s">
        <v>7289</v>
      </c>
    </row>
    <row r="1465" spans="1:2" x14ac:dyDescent="0.2">
      <c r="A1465" t="s">
        <v>7290</v>
      </c>
      <c r="B1465" t="s">
        <v>7291</v>
      </c>
    </row>
    <row r="1466" spans="1:2" x14ac:dyDescent="0.2">
      <c r="A1466" t="s">
        <v>4345</v>
      </c>
      <c r="B1466" t="s">
        <v>7292</v>
      </c>
    </row>
    <row r="1467" spans="1:2" x14ac:dyDescent="0.2">
      <c r="A1467" t="s">
        <v>7293</v>
      </c>
      <c r="B1467" t="s">
        <v>7294</v>
      </c>
    </row>
    <row r="1468" spans="1:2" x14ac:dyDescent="0.2">
      <c r="A1468" t="s">
        <v>7295</v>
      </c>
      <c r="B1468" t="s">
        <v>7296</v>
      </c>
    </row>
    <row r="1469" spans="1:2" x14ac:dyDescent="0.2">
      <c r="A1469" t="s">
        <v>7297</v>
      </c>
      <c r="B1469" t="s">
        <v>7298</v>
      </c>
    </row>
    <row r="1470" spans="1:2" x14ac:dyDescent="0.2">
      <c r="A1470" t="s">
        <v>7299</v>
      </c>
      <c r="B1470" t="s">
        <v>7300</v>
      </c>
    </row>
    <row r="1471" spans="1:2" x14ac:dyDescent="0.2">
      <c r="A1471" t="s">
        <v>4347</v>
      </c>
      <c r="B1471" t="s">
        <v>7301</v>
      </c>
    </row>
    <row r="1472" spans="1:2" x14ac:dyDescent="0.2">
      <c r="A1472" t="s">
        <v>4350</v>
      </c>
      <c r="B1472" t="s">
        <v>7301</v>
      </c>
    </row>
    <row r="1473" spans="1:2" x14ac:dyDescent="0.2">
      <c r="A1473" t="s">
        <v>7302</v>
      </c>
      <c r="B1473" t="s">
        <v>7301</v>
      </c>
    </row>
    <row r="1474" spans="1:2" x14ac:dyDescent="0.2">
      <c r="A1474" t="s">
        <v>4351</v>
      </c>
      <c r="B1474" t="s">
        <v>7303</v>
      </c>
    </row>
    <row r="1475" spans="1:2" x14ac:dyDescent="0.2">
      <c r="A1475" t="s">
        <v>4353</v>
      </c>
      <c r="B1475" t="s">
        <v>7304</v>
      </c>
    </row>
    <row r="1476" spans="1:2" x14ac:dyDescent="0.2">
      <c r="A1476" t="s">
        <v>4356</v>
      </c>
      <c r="B1476" t="s">
        <v>7305</v>
      </c>
    </row>
    <row r="1477" spans="1:2" x14ac:dyDescent="0.2">
      <c r="A1477" t="s">
        <v>7306</v>
      </c>
      <c r="B1477" t="s">
        <v>7305</v>
      </c>
    </row>
    <row r="1478" spans="1:2" x14ac:dyDescent="0.2">
      <c r="A1478" t="s">
        <v>4359</v>
      </c>
      <c r="B1478" t="s">
        <v>7307</v>
      </c>
    </row>
    <row r="1479" spans="1:2" x14ac:dyDescent="0.2">
      <c r="A1479" t="s">
        <v>7308</v>
      </c>
      <c r="B1479" t="s">
        <v>7307</v>
      </c>
    </row>
    <row r="1480" spans="1:2" x14ac:dyDescent="0.2">
      <c r="A1480" t="s">
        <v>4361</v>
      </c>
      <c r="B1480" t="s">
        <v>7309</v>
      </c>
    </row>
    <row r="1481" spans="1:2" x14ac:dyDescent="0.2">
      <c r="A1481" t="s">
        <v>4364</v>
      </c>
      <c r="B1481" t="s">
        <v>7309</v>
      </c>
    </row>
    <row r="1482" spans="1:2" x14ac:dyDescent="0.2">
      <c r="A1482" t="s">
        <v>7310</v>
      </c>
      <c r="B1482" t="s">
        <v>7309</v>
      </c>
    </row>
    <row r="1483" spans="1:2" x14ac:dyDescent="0.2">
      <c r="A1483" t="s">
        <v>4365</v>
      </c>
      <c r="B1483" t="s">
        <v>7311</v>
      </c>
    </row>
    <row r="1484" spans="1:2" x14ac:dyDescent="0.2">
      <c r="A1484" t="s">
        <v>4367</v>
      </c>
      <c r="B1484" t="s">
        <v>7312</v>
      </c>
    </row>
    <row r="1485" spans="1:2" x14ac:dyDescent="0.2">
      <c r="A1485" t="s">
        <v>4370</v>
      </c>
      <c r="B1485" t="s">
        <v>7313</v>
      </c>
    </row>
    <row r="1486" spans="1:2" x14ac:dyDescent="0.2">
      <c r="A1486" t="s">
        <v>7314</v>
      </c>
      <c r="B1486" t="s">
        <v>7313</v>
      </c>
    </row>
    <row r="1487" spans="1:2" x14ac:dyDescent="0.2">
      <c r="A1487" t="s">
        <v>4373</v>
      </c>
      <c r="B1487" t="s">
        <v>7315</v>
      </c>
    </row>
    <row r="1488" spans="1:2" x14ac:dyDescent="0.2">
      <c r="A1488" t="s">
        <v>7316</v>
      </c>
      <c r="B1488" t="s">
        <v>7315</v>
      </c>
    </row>
    <row r="1489" spans="1:2" x14ac:dyDescent="0.2">
      <c r="A1489" t="s">
        <v>4375</v>
      </c>
      <c r="B1489" t="s">
        <v>7317</v>
      </c>
    </row>
    <row r="1490" spans="1:2" x14ac:dyDescent="0.2">
      <c r="A1490" t="s">
        <v>4378</v>
      </c>
      <c r="B1490" t="s">
        <v>7317</v>
      </c>
    </row>
    <row r="1491" spans="1:2" x14ac:dyDescent="0.2">
      <c r="A1491" t="s">
        <v>7318</v>
      </c>
      <c r="B1491" t="s">
        <v>7317</v>
      </c>
    </row>
    <row r="1492" spans="1:2" x14ac:dyDescent="0.2">
      <c r="A1492" t="s">
        <v>4379</v>
      </c>
      <c r="B1492" t="s">
        <v>7319</v>
      </c>
    </row>
    <row r="1493" spans="1:2" x14ac:dyDescent="0.2">
      <c r="A1493" t="s">
        <v>4381</v>
      </c>
      <c r="B1493" t="s">
        <v>7320</v>
      </c>
    </row>
    <row r="1494" spans="1:2" x14ac:dyDescent="0.2">
      <c r="A1494" t="s">
        <v>4384</v>
      </c>
      <c r="B1494" t="s">
        <v>7320</v>
      </c>
    </row>
    <row r="1495" spans="1:2" x14ac:dyDescent="0.2">
      <c r="A1495" t="s">
        <v>7321</v>
      </c>
      <c r="B1495" t="s">
        <v>7322</v>
      </c>
    </row>
    <row r="1496" spans="1:2" x14ac:dyDescent="0.2">
      <c r="A1496" t="s">
        <v>7323</v>
      </c>
      <c r="B1496" t="s">
        <v>7324</v>
      </c>
    </row>
    <row r="1497" spans="1:2" x14ac:dyDescent="0.2">
      <c r="A1497" t="s">
        <v>7325</v>
      </c>
      <c r="B1497" t="s">
        <v>7326</v>
      </c>
    </row>
    <row r="1498" spans="1:2" x14ac:dyDescent="0.2">
      <c r="A1498" t="s">
        <v>4385</v>
      </c>
      <c r="B1498" t="s">
        <v>7327</v>
      </c>
    </row>
    <row r="1499" spans="1:2" x14ac:dyDescent="0.2">
      <c r="A1499" t="s">
        <v>4388</v>
      </c>
      <c r="B1499" t="s">
        <v>7327</v>
      </c>
    </row>
    <row r="1500" spans="1:2" x14ac:dyDescent="0.2">
      <c r="A1500" t="s">
        <v>7328</v>
      </c>
      <c r="B1500" t="s">
        <v>7329</v>
      </c>
    </row>
    <row r="1501" spans="1:2" x14ac:dyDescent="0.2">
      <c r="A1501" t="s">
        <v>7330</v>
      </c>
      <c r="B1501" t="s">
        <v>7331</v>
      </c>
    </row>
    <row r="1502" spans="1:2" x14ac:dyDescent="0.2">
      <c r="A1502" t="s">
        <v>4389</v>
      </c>
      <c r="B1502" t="s">
        <v>7332</v>
      </c>
    </row>
    <row r="1503" spans="1:2" x14ac:dyDescent="0.2">
      <c r="A1503" t="s">
        <v>4392</v>
      </c>
      <c r="B1503" t="s">
        <v>7332</v>
      </c>
    </row>
    <row r="1504" spans="1:2" x14ac:dyDescent="0.2">
      <c r="A1504" t="s">
        <v>7333</v>
      </c>
      <c r="B1504" t="s">
        <v>7334</v>
      </c>
    </row>
    <row r="1505" spans="1:2" x14ac:dyDescent="0.2">
      <c r="A1505" t="s">
        <v>7335</v>
      </c>
      <c r="B1505" t="s">
        <v>7336</v>
      </c>
    </row>
    <row r="1506" spans="1:2" x14ac:dyDescent="0.2">
      <c r="A1506" t="s">
        <v>4393</v>
      </c>
      <c r="B1506" t="s">
        <v>7337</v>
      </c>
    </row>
    <row r="1507" spans="1:2" x14ac:dyDescent="0.2">
      <c r="A1507" t="s">
        <v>4396</v>
      </c>
      <c r="B1507" t="s">
        <v>7337</v>
      </c>
    </row>
    <row r="1508" spans="1:2" x14ac:dyDescent="0.2">
      <c r="A1508" t="s">
        <v>7338</v>
      </c>
      <c r="B1508" t="s">
        <v>7337</v>
      </c>
    </row>
    <row r="1509" spans="1:2" x14ac:dyDescent="0.2">
      <c r="A1509" t="s">
        <v>4397</v>
      </c>
      <c r="B1509" t="s">
        <v>7339</v>
      </c>
    </row>
    <row r="1510" spans="1:2" x14ac:dyDescent="0.2">
      <c r="A1510" t="s">
        <v>4399</v>
      </c>
      <c r="B1510" t="s">
        <v>7339</v>
      </c>
    </row>
    <row r="1511" spans="1:2" x14ac:dyDescent="0.2">
      <c r="A1511" t="s">
        <v>4401</v>
      </c>
      <c r="B1511" t="s">
        <v>7339</v>
      </c>
    </row>
    <row r="1512" spans="1:2" x14ac:dyDescent="0.2">
      <c r="A1512" t="s">
        <v>7340</v>
      </c>
      <c r="B1512" t="s">
        <v>7341</v>
      </c>
    </row>
    <row r="1513" spans="1:2" x14ac:dyDescent="0.2">
      <c r="A1513" t="s">
        <v>7342</v>
      </c>
      <c r="B1513" t="s">
        <v>7343</v>
      </c>
    </row>
    <row r="1514" spans="1:2" x14ac:dyDescent="0.2">
      <c r="A1514" t="s">
        <v>4402</v>
      </c>
      <c r="B1514" t="s">
        <v>7344</v>
      </c>
    </row>
    <row r="1515" spans="1:2" x14ac:dyDescent="0.2">
      <c r="A1515" t="s">
        <v>4404</v>
      </c>
      <c r="B1515" t="s">
        <v>7345</v>
      </c>
    </row>
    <row r="1516" spans="1:2" x14ac:dyDescent="0.2">
      <c r="A1516" t="s">
        <v>4406</v>
      </c>
      <c r="B1516" t="s">
        <v>7346</v>
      </c>
    </row>
    <row r="1517" spans="1:2" x14ac:dyDescent="0.2">
      <c r="A1517" t="s">
        <v>4409</v>
      </c>
      <c r="B1517" t="s">
        <v>7347</v>
      </c>
    </row>
    <row r="1518" spans="1:2" x14ac:dyDescent="0.2">
      <c r="A1518" t="s">
        <v>7348</v>
      </c>
      <c r="B1518" t="s">
        <v>7347</v>
      </c>
    </row>
    <row r="1519" spans="1:2" x14ac:dyDescent="0.2">
      <c r="A1519" t="s">
        <v>4412</v>
      </c>
      <c r="B1519" t="s">
        <v>7349</v>
      </c>
    </row>
    <row r="1520" spans="1:2" x14ac:dyDescent="0.2">
      <c r="A1520" t="s">
        <v>7350</v>
      </c>
      <c r="B1520" t="s">
        <v>7349</v>
      </c>
    </row>
    <row r="1521" spans="1:2" x14ac:dyDescent="0.2">
      <c r="A1521" t="s">
        <v>4414</v>
      </c>
      <c r="B1521" t="s">
        <v>7351</v>
      </c>
    </row>
    <row r="1522" spans="1:2" x14ac:dyDescent="0.2">
      <c r="A1522" t="s">
        <v>4417</v>
      </c>
      <c r="B1522" t="s">
        <v>7352</v>
      </c>
    </row>
    <row r="1523" spans="1:2" x14ac:dyDescent="0.2">
      <c r="A1523" t="s">
        <v>7353</v>
      </c>
      <c r="B1523" t="s">
        <v>7352</v>
      </c>
    </row>
    <row r="1524" spans="1:2" x14ac:dyDescent="0.2">
      <c r="A1524" t="s">
        <v>4420</v>
      </c>
      <c r="B1524" t="s">
        <v>7354</v>
      </c>
    </row>
    <row r="1525" spans="1:2" x14ac:dyDescent="0.2">
      <c r="A1525" t="s">
        <v>7355</v>
      </c>
      <c r="B1525" t="s">
        <v>7354</v>
      </c>
    </row>
    <row r="1526" spans="1:2" x14ac:dyDescent="0.2">
      <c r="A1526" t="s">
        <v>4423</v>
      </c>
      <c r="B1526" t="s">
        <v>7356</v>
      </c>
    </row>
    <row r="1527" spans="1:2" x14ac:dyDescent="0.2">
      <c r="A1527" t="s">
        <v>7357</v>
      </c>
      <c r="B1527" t="s">
        <v>7356</v>
      </c>
    </row>
    <row r="1528" spans="1:2" x14ac:dyDescent="0.2">
      <c r="A1528" t="s">
        <v>4425</v>
      </c>
      <c r="B1528" t="s">
        <v>7358</v>
      </c>
    </row>
    <row r="1529" spans="1:2" x14ac:dyDescent="0.2">
      <c r="A1529" t="s">
        <v>4428</v>
      </c>
      <c r="B1529" t="s">
        <v>7359</v>
      </c>
    </row>
    <row r="1530" spans="1:2" x14ac:dyDescent="0.2">
      <c r="A1530" t="s">
        <v>7360</v>
      </c>
      <c r="B1530" t="s">
        <v>7359</v>
      </c>
    </row>
    <row r="1531" spans="1:2" x14ac:dyDescent="0.2">
      <c r="A1531" t="s">
        <v>4431</v>
      </c>
      <c r="B1531" t="s">
        <v>7361</v>
      </c>
    </row>
    <row r="1532" spans="1:2" x14ac:dyDescent="0.2">
      <c r="A1532" t="s">
        <v>7362</v>
      </c>
      <c r="B1532" t="s">
        <v>7361</v>
      </c>
    </row>
    <row r="1533" spans="1:2" x14ac:dyDescent="0.2">
      <c r="A1533" t="s">
        <v>4434</v>
      </c>
      <c r="B1533" t="s">
        <v>7363</v>
      </c>
    </row>
    <row r="1534" spans="1:2" x14ac:dyDescent="0.2">
      <c r="A1534" t="s">
        <v>7364</v>
      </c>
      <c r="B1534" t="s">
        <v>7363</v>
      </c>
    </row>
    <row r="1535" spans="1:2" x14ac:dyDescent="0.2">
      <c r="A1535" t="s">
        <v>4437</v>
      </c>
      <c r="B1535" t="s">
        <v>7365</v>
      </c>
    </row>
    <row r="1536" spans="1:2" x14ac:dyDescent="0.2">
      <c r="A1536" t="s">
        <v>7366</v>
      </c>
      <c r="B1536" t="s">
        <v>7365</v>
      </c>
    </row>
    <row r="1537" spans="1:2" x14ac:dyDescent="0.2">
      <c r="A1537" t="s">
        <v>4440</v>
      </c>
      <c r="B1537" t="s">
        <v>7367</v>
      </c>
    </row>
    <row r="1538" spans="1:2" x14ac:dyDescent="0.2">
      <c r="A1538" t="s">
        <v>7368</v>
      </c>
      <c r="B1538" t="s">
        <v>7367</v>
      </c>
    </row>
    <row r="1539" spans="1:2" x14ac:dyDescent="0.2">
      <c r="A1539" t="s">
        <v>4443</v>
      </c>
      <c r="B1539" t="s">
        <v>7369</v>
      </c>
    </row>
    <row r="1540" spans="1:2" x14ac:dyDescent="0.2">
      <c r="A1540" t="s">
        <v>7370</v>
      </c>
      <c r="B1540" t="s">
        <v>7369</v>
      </c>
    </row>
    <row r="1541" spans="1:2" x14ac:dyDescent="0.2">
      <c r="A1541" t="s">
        <v>4445</v>
      </c>
      <c r="B1541" t="s">
        <v>7371</v>
      </c>
    </row>
    <row r="1542" spans="1:2" x14ac:dyDescent="0.2">
      <c r="A1542" t="s">
        <v>4448</v>
      </c>
      <c r="B1542" t="s">
        <v>7371</v>
      </c>
    </row>
    <row r="1543" spans="1:2" x14ac:dyDescent="0.2">
      <c r="A1543" t="s">
        <v>7372</v>
      </c>
      <c r="B1543" t="s">
        <v>7371</v>
      </c>
    </row>
    <row r="1544" spans="1:2" x14ac:dyDescent="0.2">
      <c r="A1544" t="s">
        <v>4449</v>
      </c>
      <c r="B1544" t="s">
        <v>7373</v>
      </c>
    </row>
    <row r="1545" spans="1:2" x14ac:dyDescent="0.2">
      <c r="A1545" t="s">
        <v>4451</v>
      </c>
      <c r="B1545" t="s">
        <v>7374</v>
      </c>
    </row>
    <row r="1546" spans="1:2" x14ac:dyDescent="0.2">
      <c r="A1546" t="s">
        <v>4454</v>
      </c>
      <c r="B1546" t="s">
        <v>7374</v>
      </c>
    </row>
    <row r="1547" spans="1:2" x14ac:dyDescent="0.2">
      <c r="A1547" t="s">
        <v>7375</v>
      </c>
      <c r="B1547" t="s">
        <v>7374</v>
      </c>
    </row>
    <row r="1548" spans="1:2" x14ac:dyDescent="0.2">
      <c r="A1548" t="s">
        <v>4455</v>
      </c>
      <c r="B1548" t="s">
        <v>7376</v>
      </c>
    </row>
    <row r="1549" spans="1:2" x14ac:dyDescent="0.2">
      <c r="A1549" t="s">
        <v>4458</v>
      </c>
      <c r="B1549" t="s">
        <v>7376</v>
      </c>
    </row>
    <row r="1550" spans="1:2" x14ac:dyDescent="0.2">
      <c r="A1550" t="s">
        <v>7377</v>
      </c>
      <c r="B1550" t="s">
        <v>7376</v>
      </c>
    </row>
    <row r="1551" spans="1:2" x14ac:dyDescent="0.2">
      <c r="A1551" t="s">
        <v>4459</v>
      </c>
      <c r="B1551" t="s">
        <v>7378</v>
      </c>
    </row>
    <row r="1552" spans="1:2" x14ac:dyDescent="0.2">
      <c r="A1552" t="s">
        <v>4462</v>
      </c>
      <c r="B1552" t="s">
        <v>7378</v>
      </c>
    </row>
    <row r="1553" spans="1:2" x14ac:dyDescent="0.2">
      <c r="A1553" t="s">
        <v>7379</v>
      </c>
      <c r="B1553" t="s">
        <v>7378</v>
      </c>
    </row>
    <row r="1554" spans="1:2" x14ac:dyDescent="0.2">
      <c r="A1554" t="s">
        <v>4463</v>
      </c>
      <c r="B1554" t="s">
        <v>7380</v>
      </c>
    </row>
    <row r="1555" spans="1:2" x14ac:dyDescent="0.2">
      <c r="A1555" t="s">
        <v>4465</v>
      </c>
      <c r="B1555" t="s">
        <v>7381</v>
      </c>
    </row>
    <row r="1556" spans="1:2" x14ac:dyDescent="0.2">
      <c r="A1556" t="s">
        <v>4468</v>
      </c>
      <c r="B1556" t="s">
        <v>7382</v>
      </c>
    </row>
    <row r="1557" spans="1:2" x14ac:dyDescent="0.2">
      <c r="A1557" t="s">
        <v>7383</v>
      </c>
      <c r="B1557" t="s">
        <v>7382</v>
      </c>
    </row>
    <row r="1558" spans="1:2" x14ac:dyDescent="0.2">
      <c r="A1558" t="s">
        <v>4471</v>
      </c>
      <c r="B1558" t="s">
        <v>7384</v>
      </c>
    </row>
    <row r="1559" spans="1:2" x14ac:dyDescent="0.2">
      <c r="A1559" t="s">
        <v>7385</v>
      </c>
      <c r="B1559" t="s">
        <v>7384</v>
      </c>
    </row>
    <row r="1560" spans="1:2" x14ac:dyDescent="0.2">
      <c r="A1560" t="s">
        <v>4473</v>
      </c>
      <c r="B1560" t="s">
        <v>7386</v>
      </c>
    </row>
    <row r="1561" spans="1:2" x14ac:dyDescent="0.2">
      <c r="A1561" t="s">
        <v>4476</v>
      </c>
      <c r="B1561" t="s">
        <v>7386</v>
      </c>
    </row>
    <row r="1562" spans="1:2" x14ac:dyDescent="0.2">
      <c r="A1562" t="s">
        <v>7387</v>
      </c>
      <c r="B1562" t="s">
        <v>7386</v>
      </c>
    </row>
    <row r="1563" spans="1:2" x14ac:dyDescent="0.2">
      <c r="A1563" t="s">
        <v>4477</v>
      </c>
      <c r="B1563" t="s">
        <v>7388</v>
      </c>
    </row>
    <row r="1564" spans="1:2" x14ac:dyDescent="0.2">
      <c r="A1564" t="s">
        <v>4479</v>
      </c>
      <c r="B1564" t="s">
        <v>7389</v>
      </c>
    </row>
    <row r="1565" spans="1:2" x14ac:dyDescent="0.2">
      <c r="A1565" t="s">
        <v>4482</v>
      </c>
      <c r="B1565" t="s">
        <v>7389</v>
      </c>
    </row>
    <row r="1566" spans="1:2" x14ac:dyDescent="0.2">
      <c r="A1566" t="s">
        <v>7390</v>
      </c>
      <c r="B1566" t="s">
        <v>7389</v>
      </c>
    </row>
    <row r="1567" spans="1:2" x14ac:dyDescent="0.2">
      <c r="A1567" t="s">
        <v>4483</v>
      </c>
      <c r="B1567" t="s">
        <v>7391</v>
      </c>
    </row>
    <row r="1568" spans="1:2" x14ac:dyDescent="0.2">
      <c r="A1568" t="s">
        <v>4486</v>
      </c>
      <c r="B1568" t="s">
        <v>7391</v>
      </c>
    </row>
    <row r="1569" spans="1:2" x14ac:dyDescent="0.2">
      <c r="A1569" t="s">
        <v>7392</v>
      </c>
      <c r="B1569" t="s">
        <v>7391</v>
      </c>
    </row>
    <row r="1570" spans="1:2" x14ac:dyDescent="0.2">
      <c r="A1570" t="s">
        <v>4487</v>
      </c>
      <c r="B1570" t="s">
        <v>7393</v>
      </c>
    </row>
    <row r="1571" spans="1:2" x14ac:dyDescent="0.2">
      <c r="A1571" t="s">
        <v>4490</v>
      </c>
      <c r="B1571" t="s">
        <v>7393</v>
      </c>
    </row>
    <row r="1572" spans="1:2" x14ac:dyDescent="0.2">
      <c r="A1572" t="s">
        <v>7394</v>
      </c>
      <c r="B1572" t="s">
        <v>7393</v>
      </c>
    </row>
    <row r="1573" spans="1:2" x14ac:dyDescent="0.2">
      <c r="A1573" t="s">
        <v>4491</v>
      </c>
      <c r="B1573" t="s">
        <v>7395</v>
      </c>
    </row>
    <row r="1574" spans="1:2" x14ac:dyDescent="0.2">
      <c r="A1574" t="s">
        <v>4493</v>
      </c>
      <c r="B1574" t="s">
        <v>7396</v>
      </c>
    </row>
    <row r="1575" spans="1:2" x14ac:dyDescent="0.2">
      <c r="A1575" t="s">
        <v>4496</v>
      </c>
      <c r="B1575" t="s">
        <v>7396</v>
      </c>
    </row>
    <row r="1576" spans="1:2" x14ac:dyDescent="0.2">
      <c r="A1576" t="s">
        <v>7397</v>
      </c>
      <c r="B1576" t="s">
        <v>7396</v>
      </c>
    </row>
    <row r="1577" spans="1:2" x14ac:dyDescent="0.2">
      <c r="A1577" t="s">
        <v>4497</v>
      </c>
      <c r="B1577" t="s">
        <v>7398</v>
      </c>
    </row>
    <row r="1578" spans="1:2" x14ac:dyDescent="0.2">
      <c r="A1578" t="s">
        <v>4500</v>
      </c>
      <c r="B1578" t="s">
        <v>7399</v>
      </c>
    </row>
    <row r="1579" spans="1:2" x14ac:dyDescent="0.2">
      <c r="A1579" t="s">
        <v>7400</v>
      </c>
      <c r="B1579" t="s">
        <v>7399</v>
      </c>
    </row>
    <row r="1580" spans="1:2" x14ac:dyDescent="0.2">
      <c r="A1580" t="s">
        <v>4503</v>
      </c>
      <c r="B1580" t="s">
        <v>7401</v>
      </c>
    </row>
    <row r="1581" spans="1:2" x14ac:dyDescent="0.2">
      <c r="A1581" t="s">
        <v>7402</v>
      </c>
      <c r="B1581" t="s">
        <v>7403</v>
      </c>
    </row>
    <row r="1582" spans="1:2" x14ac:dyDescent="0.2">
      <c r="A1582" t="s">
        <v>7404</v>
      </c>
      <c r="B1582" t="s">
        <v>7405</v>
      </c>
    </row>
    <row r="1583" spans="1:2" x14ac:dyDescent="0.2">
      <c r="A1583" t="s">
        <v>4506</v>
      </c>
      <c r="B1583" t="s">
        <v>7406</v>
      </c>
    </row>
    <row r="1584" spans="1:2" x14ac:dyDescent="0.2">
      <c r="A1584" t="s">
        <v>7407</v>
      </c>
      <c r="B1584" t="s">
        <v>7408</v>
      </c>
    </row>
    <row r="1585" spans="1:2" x14ac:dyDescent="0.2">
      <c r="A1585" t="s">
        <v>7409</v>
      </c>
      <c r="B1585" t="s">
        <v>7410</v>
      </c>
    </row>
    <row r="1586" spans="1:2" x14ac:dyDescent="0.2">
      <c r="A1586" t="s">
        <v>7411</v>
      </c>
      <c r="B1586" t="s">
        <v>7412</v>
      </c>
    </row>
    <row r="1587" spans="1:2" x14ac:dyDescent="0.2">
      <c r="A1587" t="s">
        <v>4508</v>
      </c>
      <c r="B1587" t="s">
        <v>7413</v>
      </c>
    </row>
    <row r="1588" spans="1:2" x14ac:dyDescent="0.2">
      <c r="A1588" t="s">
        <v>4511</v>
      </c>
      <c r="B1588" t="s">
        <v>7413</v>
      </c>
    </row>
    <row r="1589" spans="1:2" x14ac:dyDescent="0.2">
      <c r="A1589" t="s">
        <v>7414</v>
      </c>
      <c r="B1589" t="s">
        <v>7415</v>
      </c>
    </row>
    <row r="1590" spans="1:2" x14ac:dyDescent="0.2">
      <c r="A1590" t="s">
        <v>7416</v>
      </c>
      <c r="B1590" t="s">
        <v>7417</v>
      </c>
    </row>
    <row r="1591" spans="1:2" x14ac:dyDescent="0.2">
      <c r="A1591" t="s">
        <v>4512</v>
      </c>
      <c r="B1591" t="s">
        <v>7418</v>
      </c>
    </row>
    <row r="1592" spans="1:2" x14ac:dyDescent="0.2">
      <c r="A1592" t="s">
        <v>4514</v>
      </c>
      <c r="B1592" t="s">
        <v>7419</v>
      </c>
    </row>
    <row r="1593" spans="1:2" x14ac:dyDescent="0.2">
      <c r="A1593" t="s">
        <v>4517</v>
      </c>
      <c r="B1593" t="s">
        <v>7420</v>
      </c>
    </row>
    <row r="1594" spans="1:2" x14ac:dyDescent="0.2">
      <c r="A1594" t="s">
        <v>7421</v>
      </c>
      <c r="B1594" t="s">
        <v>7420</v>
      </c>
    </row>
    <row r="1595" spans="1:2" x14ac:dyDescent="0.2">
      <c r="A1595" t="s">
        <v>4520</v>
      </c>
      <c r="B1595" t="s">
        <v>7422</v>
      </c>
    </row>
    <row r="1596" spans="1:2" x14ac:dyDescent="0.2">
      <c r="A1596" t="s">
        <v>7423</v>
      </c>
      <c r="B1596" t="s">
        <v>7422</v>
      </c>
    </row>
    <row r="1597" spans="1:2" x14ac:dyDescent="0.2">
      <c r="A1597" t="s">
        <v>4522</v>
      </c>
      <c r="B1597" t="s">
        <v>7424</v>
      </c>
    </row>
    <row r="1598" spans="1:2" x14ac:dyDescent="0.2">
      <c r="A1598" t="s">
        <v>4525</v>
      </c>
      <c r="B1598" t="s">
        <v>7424</v>
      </c>
    </row>
    <row r="1599" spans="1:2" x14ac:dyDescent="0.2">
      <c r="A1599" t="s">
        <v>7425</v>
      </c>
      <c r="B1599" t="s">
        <v>7426</v>
      </c>
    </row>
    <row r="1600" spans="1:2" x14ac:dyDescent="0.2">
      <c r="A1600" t="s">
        <v>4526</v>
      </c>
      <c r="B1600" t="s">
        <v>7427</v>
      </c>
    </row>
    <row r="1601" spans="1:2" x14ac:dyDescent="0.2">
      <c r="A1601" t="s">
        <v>4529</v>
      </c>
      <c r="B1601" t="s">
        <v>7427</v>
      </c>
    </row>
    <row r="1602" spans="1:2" x14ac:dyDescent="0.2">
      <c r="A1602" t="s">
        <v>7428</v>
      </c>
      <c r="B1602" t="s">
        <v>7427</v>
      </c>
    </row>
    <row r="1603" spans="1:2" x14ac:dyDescent="0.2">
      <c r="A1603" t="s">
        <v>4530</v>
      </c>
      <c r="B1603" t="s">
        <v>7429</v>
      </c>
    </row>
    <row r="1604" spans="1:2" x14ac:dyDescent="0.2">
      <c r="A1604" t="s">
        <v>4533</v>
      </c>
      <c r="B1604" t="s">
        <v>7430</v>
      </c>
    </row>
    <row r="1605" spans="1:2" x14ac:dyDescent="0.2">
      <c r="A1605" t="s">
        <v>7431</v>
      </c>
      <c r="B1605" t="s">
        <v>7432</v>
      </c>
    </row>
    <row r="1606" spans="1:2" x14ac:dyDescent="0.2">
      <c r="A1606" t="s">
        <v>7433</v>
      </c>
      <c r="B1606" t="s">
        <v>7434</v>
      </c>
    </row>
    <row r="1607" spans="1:2" x14ac:dyDescent="0.2">
      <c r="A1607" t="s">
        <v>4536</v>
      </c>
      <c r="B1607" t="s">
        <v>7435</v>
      </c>
    </row>
    <row r="1608" spans="1:2" x14ac:dyDescent="0.2">
      <c r="A1608" t="s">
        <v>7436</v>
      </c>
      <c r="B1608" t="s">
        <v>7435</v>
      </c>
    </row>
    <row r="1609" spans="1:2" x14ac:dyDescent="0.2">
      <c r="A1609" t="s">
        <v>4539</v>
      </c>
      <c r="B1609" t="s">
        <v>7437</v>
      </c>
    </row>
    <row r="1610" spans="1:2" x14ac:dyDescent="0.2">
      <c r="A1610" t="s">
        <v>7438</v>
      </c>
      <c r="B1610" t="s">
        <v>7439</v>
      </c>
    </row>
    <row r="1611" spans="1:2" x14ac:dyDescent="0.2">
      <c r="A1611" t="s">
        <v>7440</v>
      </c>
      <c r="B1611" t="s">
        <v>7441</v>
      </c>
    </row>
    <row r="1612" spans="1:2" x14ac:dyDescent="0.2">
      <c r="A1612" t="s">
        <v>4541</v>
      </c>
      <c r="B1612" t="s">
        <v>7442</v>
      </c>
    </row>
    <row r="1613" spans="1:2" x14ac:dyDescent="0.2">
      <c r="A1613" t="s">
        <v>4543</v>
      </c>
      <c r="B1613" t="s">
        <v>7442</v>
      </c>
    </row>
    <row r="1614" spans="1:2" x14ac:dyDescent="0.2">
      <c r="A1614" t="s">
        <v>4544</v>
      </c>
      <c r="B1614" t="s">
        <v>7443</v>
      </c>
    </row>
    <row r="1615" spans="1:2" x14ac:dyDescent="0.2">
      <c r="A1615" t="s">
        <v>4547</v>
      </c>
      <c r="B1615" t="s">
        <v>7444</v>
      </c>
    </row>
    <row r="1616" spans="1:2" x14ac:dyDescent="0.2">
      <c r="A1616" t="s">
        <v>7445</v>
      </c>
      <c r="B1616" t="s">
        <v>7444</v>
      </c>
    </row>
    <row r="1617" spans="1:2" x14ac:dyDescent="0.2">
      <c r="A1617" t="s">
        <v>4550</v>
      </c>
      <c r="B1617" t="s">
        <v>7446</v>
      </c>
    </row>
    <row r="1618" spans="1:2" x14ac:dyDescent="0.2">
      <c r="A1618" t="s">
        <v>7447</v>
      </c>
      <c r="B1618" t="s">
        <v>7446</v>
      </c>
    </row>
    <row r="1619" spans="1:2" x14ac:dyDescent="0.2">
      <c r="A1619" t="s">
        <v>4553</v>
      </c>
      <c r="B1619" t="s">
        <v>7448</v>
      </c>
    </row>
    <row r="1620" spans="1:2" x14ac:dyDescent="0.2">
      <c r="A1620" t="s">
        <v>7449</v>
      </c>
      <c r="B1620" t="s">
        <v>7448</v>
      </c>
    </row>
    <row r="1621" spans="1:2" x14ac:dyDescent="0.2">
      <c r="A1621" t="s">
        <v>4555</v>
      </c>
      <c r="B1621" t="s">
        <v>7450</v>
      </c>
    </row>
    <row r="1622" spans="1:2" x14ac:dyDescent="0.2">
      <c r="A1622" t="s">
        <v>4558</v>
      </c>
      <c r="B1622" t="s">
        <v>7451</v>
      </c>
    </row>
    <row r="1623" spans="1:2" x14ac:dyDescent="0.2">
      <c r="A1623" t="s">
        <v>7452</v>
      </c>
      <c r="B1623" t="s">
        <v>7451</v>
      </c>
    </row>
    <row r="1624" spans="1:2" x14ac:dyDescent="0.2">
      <c r="A1624" t="s">
        <v>4561</v>
      </c>
      <c r="B1624" t="s">
        <v>7453</v>
      </c>
    </row>
    <row r="1625" spans="1:2" x14ac:dyDescent="0.2">
      <c r="A1625" t="s">
        <v>7454</v>
      </c>
      <c r="B1625" t="s">
        <v>7453</v>
      </c>
    </row>
    <row r="1626" spans="1:2" x14ac:dyDescent="0.2">
      <c r="A1626" t="s">
        <v>4564</v>
      </c>
      <c r="B1626" t="s">
        <v>7455</v>
      </c>
    </row>
    <row r="1627" spans="1:2" x14ac:dyDescent="0.2">
      <c r="A1627" t="s">
        <v>7456</v>
      </c>
      <c r="B1627" t="s">
        <v>7455</v>
      </c>
    </row>
    <row r="1628" spans="1:2" x14ac:dyDescent="0.2">
      <c r="A1628" t="s">
        <v>4567</v>
      </c>
      <c r="B1628" t="s">
        <v>7457</v>
      </c>
    </row>
    <row r="1629" spans="1:2" x14ac:dyDescent="0.2">
      <c r="A1629" t="s">
        <v>7458</v>
      </c>
      <c r="B1629" t="s">
        <v>7457</v>
      </c>
    </row>
    <row r="1630" spans="1:2" x14ac:dyDescent="0.2">
      <c r="A1630" t="s">
        <v>4570</v>
      </c>
      <c r="B1630" t="s">
        <v>7459</v>
      </c>
    </row>
    <row r="1631" spans="1:2" x14ac:dyDescent="0.2">
      <c r="A1631" t="s">
        <v>7460</v>
      </c>
      <c r="B1631" t="s">
        <v>7459</v>
      </c>
    </row>
    <row r="1632" spans="1:2" x14ac:dyDescent="0.2">
      <c r="A1632" t="s">
        <v>4572</v>
      </c>
      <c r="B1632" t="s">
        <v>7461</v>
      </c>
    </row>
    <row r="1633" spans="1:2" x14ac:dyDescent="0.2">
      <c r="A1633" t="s">
        <v>4575</v>
      </c>
      <c r="B1633" t="s">
        <v>7461</v>
      </c>
    </row>
    <row r="1634" spans="1:2" x14ac:dyDescent="0.2">
      <c r="A1634" t="s">
        <v>7462</v>
      </c>
      <c r="B1634" t="s">
        <v>7461</v>
      </c>
    </row>
    <row r="1635" spans="1:2" x14ac:dyDescent="0.2">
      <c r="A1635" t="s">
        <v>4576</v>
      </c>
      <c r="B1635" t="s">
        <v>7463</v>
      </c>
    </row>
    <row r="1636" spans="1:2" x14ac:dyDescent="0.2">
      <c r="A1636" t="s">
        <v>4578</v>
      </c>
      <c r="B1636" t="s">
        <v>7463</v>
      </c>
    </row>
    <row r="1637" spans="1:2" x14ac:dyDescent="0.2">
      <c r="A1637" t="s">
        <v>4579</v>
      </c>
      <c r="B1637" t="s">
        <v>7464</v>
      </c>
    </row>
    <row r="1638" spans="1:2" x14ac:dyDescent="0.2">
      <c r="A1638" t="s">
        <v>4582</v>
      </c>
      <c r="B1638" t="s">
        <v>7464</v>
      </c>
    </row>
    <row r="1639" spans="1:2" x14ac:dyDescent="0.2">
      <c r="A1639" t="s">
        <v>7465</v>
      </c>
      <c r="B1639" t="s">
        <v>7466</v>
      </c>
    </row>
    <row r="1640" spans="1:2" x14ac:dyDescent="0.2">
      <c r="A1640" t="s">
        <v>7467</v>
      </c>
      <c r="B1640" t="s">
        <v>7468</v>
      </c>
    </row>
    <row r="1641" spans="1:2" x14ac:dyDescent="0.2">
      <c r="A1641" t="s">
        <v>4583</v>
      </c>
      <c r="B1641" t="s">
        <v>7469</v>
      </c>
    </row>
    <row r="1642" spans="1:2" x14ac:dyDescent="0.2">
      <c r="A1642" t="s">
        <v>4586</v>
      </c>
      <c r="B1642" t="s">
        <v>7469</v>
      </c>
    </row>
    <row r="1643" spans="1:2" x14ac:dyDescent="0.2">
      <c r="A1643" t="s">
        <v>7470</v>
      </c>
      <c r="B1643" t="s">
        <v>7469</v>
      </c>
    </row>
    <row r="1644" spans="1:2" x14ac:dyDescent="0.2">
      <c r="A1644" t="s">
        <v>4587</v>
      </c>
      <c r="B1644" t="s">
        <v>7471</v>
      </c>
    </row>
    <row r="1645" spans="1:2" x14ac:dyDescent="0.2">
      <c r="A1645" t="s">
        <v>4590</v>
      </c>
      <c r="B1645" t="s">
        <v>7472</v>
      </c>
    </row>
    <row r="1646" spans="1:2" x14ac:dyDescent="0.2">
      <c r="A1646" t="s">
        <v>7473</v>
      </c>
      <c r="B1646" t="s">
        <v>7474</v>
      </c>
    </row>
    <row r="1647" spans="1:2" x14ac:dyDescent="0.2">
      <c r="A1647" t="s">
        <v>7475</v>
      </c>
      <c r="B1647" t="s">
        <v>7476</v>
      </c>
    </row>
    <row r="1648" spans="1:2" x14ac:dyDescent="0.2">
      <c r="A1648" t="s">
        <v>4593</v>
      </c>
      <c r="B1648" t="s">
        <v>7477</v>
      </c>
    </row>
    <row r="1649" spans="1:2" x14ac:dyDescent="0.2">
      <c r="A1649" t="s">
        <v>7478</v>
      </c>
      <c r="B1649" t="s">
        <v>7477</v>
      </c>
    </row>
    <row r="1650" spans="1:2" x14ac:dyDescent="0.2">
      <c r="A1650" t="s">
        <v>4595</v>
      </c>
      <c r="B1650" t="s">
        <v>7479</v>
      </c>
    </row>
    <row r="1651" spans="1:2" x14ac:dyDescent="0.2">
      <c r="A1651" t="s">
        <v>4598</v>
      </c>
      <c r="B1651" t="s">
        <v>7480</v>
      </c>
    </row>
    <row r="1652" spans="1:2" x14ac:dyDescent="0.2">
      <c r="A1652" t="s">
        <v>7481</v>
      </c>
      <c r="B1652" t="s">
        <v>7480</v>
      </c>
    </row>
    <row r="1653" spans="1:2" x14ac:dyDescent="0.2">
      <c r="A1653" t="s">
        <v>4601</v>
      </c>
      <c r="B1653" t="s">
        <v>7482</v>
      </c>
    </row>
    <row r="1654" spans="1:2" x14ac:dyDescent="0.2">
      <c r="A1654" t="s">
        <v>7483</v>
      </c>
      <c r="B1654" t="s">
        <v>7484</v>
      </c>
    </row>
    <row r="1655" spans="1:2" x14ac:dyDescent="0.2">
      <c r="A1655" t="s">
        <v>7485</v>
      </c>
      <c r="B1655" t="s">
        <v>7486</v>
      </c>
    </row>
    <row r="1656" spans="1:2" x14ac:dyDescent="0.2">
      <c r="A1656" t="s">
        <v>7487</v>
      </c>
      <c r="B1656" t="s">
        <v>7488</v>
      </c>
    </row>
    <row r="1657" spans="1:2" x14ac:dyDescent="0.2">
      <c r="A1657" t="s">
        <v>7489</v>
      </c>
      <c r="B1657" t="s">
        <v>7490</v>
      </c>
    </row>
    <row r="1658" spans="1:2" x14ac:dyDescent="0.2">
      <c r="A1658" t="s">
        <v>4603</v>
      </c>
      <c r="B1658" t="s">
        <v>7491</v>
      </c>
    </row>
    <row r="1659" spans="1:2" x14ac:dyDescent="0.2">
      <c r="A1659" t="s">
        <v>4606</v>
      </c>
      <c r="B1659" t="s">
        <v>7492</v>
      </c>
    </row>
    <row r="1660" spans="1:2" x14ac:dyDescent="0.2">
      <c r="A1660" t="s">
        <v>7493</v>
      </c>
      <c r="B1660" t="s">
        <v>7492</v>
      </c>
    </row>
    <row r="1661" spans="1:2" x14ac:dyDescent="0.2">
      <c r="A1661" t="s">
        <v>4609</v>
      </c>
      <c r="B1661" t="s">
        <v>7494</v>
      </c>
    </row>
    <row r="1662" spans="1:2" x14ac:dyDescent="0.2">
      <c r="A1662" t="s">
        <v>7495</v>
      </c>
      <c r="B1662" t="s">
        <v>7494</v>
      </c>
    </row>
    <row r="1663" spans="1:2" x14ac:dyDescent="0.2">
      <c r="A1663" t="s">
        <v>4612</v>
      </c>
      <c r="B1663" t="s">
        <v>7496</v>
      </c>
    </row>
    <row r="1664" spans="1:2" x14ac:dyDescent="0.2">
      <c r="A1664" t="s">
        <v>7497</v>
      </c>
      <c r="B1664" t="s">
        <v>7496</v>
      </c>
    </row>
    <row r="1665" spans="1:2" x14ac:dyDescent="0.2">
      <c r="A1665" t="s">
        <v>4615</v>
      </c>
      <c r="B1665" t="s">
        <v>7498</v>
      </c>
    </row>
    <row r="1666" spans="1:2" x14ac:dyDescent="0.2">
      <c r="A1666" t="s">
        <v>7499</v>
      </c>
      <c r="B1666" t="s">
        <v>7500</v>
      </c>
    </row>
    <row r="1667" spans="1:2" x14ac:dyDescent="0.2">
      <c r="A1667" t="s">
        <v>7501</v>
      </c>
      <c r="B1667" t="s">
        <v>7502</v>
      </c>
    </row>
    <row r="1668" spans="1:2" x14ac:dyDescent="0.2">
      <c r="A1668" t="s">
        <v>7503</v>
      </c>
      <c r="B1668" t="s">
        <v>7504</v>
      </c>
    </row>
    <row r="1669" spans="1:2" x14ac:dyDescent="0.2">
      <c r="A1669" t="s">
        <v>4617</v>
      </c>
      <c r="B1669" t="s">
        <v>7505</v>
      </c>
    </row>
    <row r="1670" spans="1:2" x14ac:dyDescent="0.2">
      <c r="A1670" t="s">
        <v>4620</v>
      </c>
      <c r="B1670" t="s">
        <v>7505</v>
      </c>
    </row>
    <row r="1671" spans="1:2" x14ac:dyDescent="0.2">
      <c r="A1671" t="s">
        <v>7506</v>
      </c>
      <c r="B1671" t="s">
        <v>7505</v>
      </c>
    </row>
    <row r="1672" spans="1:2" x14ac:dyDescent="0.2">
      <c r="A1672" t="s">
        <v>4621</v>
      </c>
      <c r="B1672" t="s">
        <v>7507</v>
      </c>
    </row>
    <row r="1673" spans="1:2" x14ac:dyDescent="0.2">
      <c r="A1673" t="s">
        <v>4623</v>
      </c>
      <c r="B1673" t="s">
        <v>7508</v>
      </c>
    </row>
    <row r="1674" spans="1:2" x14ac:dyDescent="0.2">
      <c r="A1674" t="s">
        <v>4625</v>
      </c>
      <c r="B1674" t="s">
        <v>7509</v>
      </c>
    </row>
    <row r="1675" spans="1:2" x14ac:dyDescent="0.2">
      <c r="A1675" t="s">
        <v>4628</v>
      </c>
      <c r="B1675" t="s">
        <v>7509</v>
      </c>
    </row>
    <row r="1676" spans="1:2" x14ac:dyDescent="0.2">
      <c r="A1676" t="s">
        <v>7510</v>
      </c>
      <c r="B1676" t="s">
        <v>7511</v>
      </c>
    </row>
    <row r="1677" spans="1:2" x14ac:dyDescent="0.2">
      <c r="A1677" t="s">
        <v>7512</v>
      </c>
      <c r="B1677" t="s">
        <v>7513</v>
      </c>
    </row>
    <row r="1678" spans="1:2" x14ac:dyDescent="0.2">
      <c r="A1678" t="s">
        <v>7514</v>
      </c>
      <c r="B1678" t="s">
        <v>7515</v>
      </c>
    </row>
    <row r="1679" spans="1:2" x14ac:dyDescent="0.2">
      <c r="A1679" t="s">
        <v>4629</v>
      </c>
      <c r="B1679" t="s">
        <v>7516</v>
      </c>
    </row>
    <row r="1680" spans="1:2" x14ac:dyDescent="0.2">
      <c r="A1680" t="s">
        <v>4632</v>
      </c>
      <c r="B1680" t="s">
        <v>7517</v>
      </c>
    </row>
    <row r="1681" spans="1:2" x14ac:dyDescent="0.2">
      <c r="A1681" t="s">
        <v>7518</v>
      </c>
      <c r="B1681" t="s">
        <v>7517</v>
      </c>
    </row>
    <row r="1682" spans="1:2" x14ac:dyDescent="0.2">
      <c r="A1682" t="s">
        <v>4635</v>
      </c>
      <c r="B1682" t="s">
        <v>7519</v>
      </c>
    </row>
    <row r="1683" spans="1:2" x14ac:dyDescent="0.2">
      <c r="A1683" t="s">
        <v>7520</v>
      </c>
      <c r="B1683" t="s">
        <v>7519</v>
      </c>
    </row>
    <row r="1684" spans="1:2" x14ac:dyDescent="0.2">
      <c r="A1684" t="s">
        <v>4638</v>
      </c>
      <c r="B1684" t="s">
        <v>7521</v>
      </c>
    </row>
    <row r="1685" spans="1:2" x14ac:dyDescent="0.2">
      <c r="A1685" t="s">
        <v>7522</v>
      </c>
      <c r="B1685" t="s">
        <v>7521</v>
      </c>
    </row>
    <row r="1686" spans="1:2" x14ac:dyDescent="0.2">
      <c r="A1686" t="s">
        <v>4640</v>
      </c>
      <c r="B1686" t="s">
        <v>7523</v>
      </c>
    </row>
    <row r="1687" spans="1:2" x14ac:dyDescent="0.2">
      <c r="A1687" t="s">
        <v>4643</v>
      </c>
      <c r="B1687" t="s">
        <v>7523</v>
      </c>
    </row>
    <row r="1688" spans="1:2" x14ac:dyDescent="0.2">
      <c r="A1688" t="s">
        <v>7524</v>
      </c>
      <c r="B1688" t="s">
        <v>7525</v>
      </c>
    </row>
    <row r="1689" spans="1:2" x14ac:dyDescent="0.2">
      <c r="A1689" t="s">
        <v>7526</v>
      </c>
      <c r="B1689" t="s">
        <v>7527</v>
      </c>
    </row>
    <row r="1690" spans="1:2" x14ac:dyDescent="0.2">
      <c r="A1690" t="s">
        <v>7528</v>
      </c>
      <c r="B1690" t="s">
        <v>7529</v>
      </c>
    </row>
    <row r="1691" spans="1:2" x14ac:dyDescent="0.2">
      <c r="A1691" t="s">
        <v>7530</v>
      </c>
      <c r="B1691" t="s">
        <v>7531</v>
      </c>
    </row>
    <row r="1692" spans="1:2" x14ac:dyDescent="0.2">
      <c r="A1692" t="s">
        <v>4644</v>
      </c>
      <c r="B1692" t="s">
        <v>7532</v>
      </c>
    </row>
    <row r="1693" spans="1:2" x14ac:dyDescent="0.2">
      <c r="A1693" t="s">
        <v>4646</v>
      </c>
      <c r="B1693" t="s">
        <v>7533</v>
      </c>
    </row>
    <row r="1694" spans="1:2" x14ac:dyDescent="0.2">
      <c r="A1694" t="s">
        <v>4649</v>
      </c>
      <c r="B1694" t="s">
        <v>7533</v>
      </c>
    </row>
    <row r="1695" spans="1:2" x14ac:dyDescent="0.2">
      <c r="A1695" t="s">
        <v>7534</v>
      </c>
      <c r="B1695" t="s">
        <v>7533</v>
      </c>
    </row>
    <row r="1696" spans="1:2" x14ac:dyDescent="0.2">
      <c r="A1696" t="s">
        <v>4650</v>
      </c>
      <c r="B1696" t="s">
        <v>7535</v>
      </c>
    </row>
    <row r="1697" spans="1:2" x14ac:dyDescent="0.2">
      <c r="A1697" t="s">
        <v>4653</v>
      </c>
      <c r="B1697" t="s">
        <v>7535</v>
      </c>
    </row>
    <row r="1698" spans="1:2" x14ac:dyDescent="0.2">
      <c r="A1698" t="s">
        <v>7536</v>
      </c>
      <c r="B1698" t="s">
        <v>7535</v>
      </c>
    </row>
    <row r="1699" spans="1:2" x14ac:dyDescent="0.2">
      <c r="A1699" t="s">
        <v>4654</v>
      </c>
      <c r="B1699" t="s">
        <v>7537</v>
      </c>
    </row>
    <row r="1700" spans="1:2" x14ac:dyDescent="0.2">
      <c r="A1700" t="s">
        <v>4657</v>
      </c>
      <c r="B1700" t="s">
        <v>7537</v>
      </c>
    </row>
    <row r="1701" spans="1:2" x14ac:dyDescent="0.2">
      <c r="A1701" t="s">
        <v>7538</v>
      </c>
      <c r="B1701" t="s">
        <v>7537</v>
      </c>
    </row>
    <row r="1702" spans="1:2" x14ac:dyDescent="0.2">
      <c r="A1702" t="s">
        <v>4658</v>
      </c>
      <c r="B1702" t="s">
        <v>7539</v>
      </c>
    </row>
    <row r="1703" spans="1:2" x14ac:dyDescent="0.2">
      <c r="A1703" t="s">
        <v>4661</v>
      </c>
      <c r="B1703" t="s">
        <v>7539</v>
      </c>
    </row>
    <row r="1704" spans="1:2" x14ac:dyDescent="0.2">
      <c r="A1704" t="s">
        <v>7540</v>
      </c>
      <c r="B1704" t="s">
        <v>7539</v>
      </c>
    </row>
    <row r="1705" spans="1:2" x14ac:dyDescent="0.2">
      <c r="A1705" t="s">
        <v>4662</v>
      </c>
      <c r="B1705" t="s">
        <v>7541</v>
      </c>
    </row>
    <row r="1706" spans="1:2" x14ac:dyDescent="0.2">
      <c r="A1706" t="s">
        <v>4664</v>
      </c>
      <c r="B1706" t="s">
        <v>7542</v>
      </c>
    </row>
    <row r="1707" spans="1:2" x14ac:dyDescent="0.2">
      <c r="A1707" t="s">
        <v>4667</v>
      </c>
      <c r="B1707" t="s">
        <v>7542</v>
      </c>
    </row>
    <row r="1708" spans="1:2" x14ac:dyDescent="0.2">
      <c r="A1708" t="s">
        <v>7543</v>
      </c>
      <c r="B1708" t="s">
        <v>7544</v>
      </c>
    </row>
    <row r="1709" spans="1:2" x14ac:dyDescent="0.2">
      <c r="A1709" t="s">
        <v>7545</v>
      </c>
      <c r="B1709" t="s">
        <v>7546</v>
      </c>
    </row>
    <row r="1710" spans="1:2" x14ac:dyDescent="0.2">
      <c r="A1710" t="s">
        <v>4668</v>
      </c>
      <c r="B1710" t="s">
        <v>7547</v>
      </c>
    </row>
    <row r="1711" spans="1:2" x14ac:dyDescent="0.2">
      <c r="A1711" t="s">
        <v>4671</v>
      </c>
      <c r="B1711" t="s">
        <v>7548</v>
      </c>
    </row>
    <row r="1712" spans="1:2" x14ac:dyDescent="0.2">
      <c r="A1712" t="s">
        <v>7549</v>
      </c>
      <c r="B1712" t="s">
        <v>7548</v>
      </c>
    </row>
    <row r="1713" spans="1:2" x14ac:dyDescent="0.2">
      <c r="A1713" t="s">
        <v>4674</v>
      </c>
      <c r="B1713" t="s">
        <v>7550</v>
      </c>
    </row>
    <row r="1714" spans="1:2" x14ac:dyDescent="0.2">
      <c r="A1714" t="s">
        <v>7551</v>
      </c>
      <c r="B1714" t="s">
        <v>7550</v>
      </c>
    </row>
    <row r="1715" spans="1:2" x14ac:dyDescent="0.2">
      <c r="A1715" t="s">
        <v>4676</v>
      </c>
      <c r="B1715" t="s">
        <v>7552</v>
      </c>
    </row>
    <row r="1716" spans="1:2" x14ac:dyDescent="0.2">
      <c r="A1716" t="s">
        <v>4678</v>
      </c>
      <c r="B1716" t="s">
        <v>7553</v>
      </c>
    </row>
    <row r="1717" spans="1:2" x14ac:dyDescent="0.2">
      <c r="A1717" t="s">
        <v>4680</v>
      </c>
      <c r="B1717" t="s">
        <v>7553</v>
      </c>
    </row>
    <row r="1718" spans="1:2" x14ac:dyDescent="0.2">
      <c r="A1718" t="s">
        <v>4682</v>
      </c>
      <c r="B1718" t="s">
        <v>7554</v>
      </c>
    </row>
    <row r="1719" spans="1:2" x14ac:dyDescent="0.2">
      <c r="A1719" t="s">
        <v>7555</v>
      </c>
      <c r="B1719" t="s">
        <v>7556</v>
      </c>
    </row>
    <row r="1720" spans="1:2" x14ac:dyDescent="0.2">
      <c r="A1720" t="s">
        <v>7557</v>
      </c>
      <c r="B1720" t="s">
        <v>7558</v>
      </c>
    </row>
    <row r="1721" spans="1:2" x14ac:dyDescent="0.2">
      <c r="A1721" t="s">
        <v>7559</v>
      </c>
      <c r="B1721" t="s">
        <v>7560</v>
      </c>
    </row>
    <row r="1722" spans="1:2" x14ac:dyDescent="0.2">
      <c r="A1722" t="s">
        <v>7561</v>
      </c>
      <c r="B1722" t="s">
        <v>7562</v>
      </c>
    </row>
    <row r="1723" spans="1:2" x14ac:dyDescent="0.2">
      <c r="A1723" t="s">
        <v>4685</v>
      </c>
      <c r="B1723" t="s">
        <v>7563</v>
      </c>
    </row>
    <row r="1724" spans="1:2" x14ac:dyDescent="0.2">
      <c r="A1724" t="s">
        <v>7564</v>
      </c>
      <c r="B1724" t="s">
        <v>7563</v>
      </c>
    </row>
    <row r="1725" spans="1:2" x14ac:dyDescent="0.2">
      <c r="A1725" t="s">
        <v>4688</v>
      </c>
      <c r="B1725" t="s">
        <v>7565</v>
      </c>
    </row>
    <row r="1726" spans="1:2" x14ac:dyDescent="0.2">
      <c r="A1726" t="s">
        <v>7566</v>
      </c>
      <c r="B1726" t="s">
        <v>7567</v>
      </c>
    </row>
    <row r="1727" spans="1:2" x14ac:dyDescent="0.2">
      <c r="A1727" t="s">
        <v>7568</v>
      </c>
      <c r="B1727" t="s">
        <v>7569</v>
      </c>
    </row>
    <row r="1728" spans="1:2" x14ac:dyDescent="0.2">
      <c r="A1728" t="s">
        <v>7570</v>
      </c>
      <c r="B1728" t="s">
        <v>7571</v>
      </c>
    </row>
    <row r="1729" spans="1:2" x14ac:dyDescent="0.2">
      <c r="A1729" t="s">
        <v>7572</v>
      </c>
      <c r="B1729" t="s">
        <v>7573</v>
      </c>
    </row>
    <row r="1730" spans="1:2" x14ac:dyDescent="0.2">
      <c r="A1730" t="s">
        <v>7574</v>
      </c>
      <c r="B1730" t="s">
        <v>7575</v>
      </c>
    </row>
    <row r="1731" spans="1:2" x14ac:dyDescent="0.2">
      <c r="A1731" t="s">
        <v>4691</v>
      </c>
      <c r="B1731" t="s">
        <v>7576</v>
      </c>
    </row>
    <row r="1732" spans="1:2" x14ac:dyDescent="0.2">
      <c r="A1732" t="s">
        <v>7577</v>
      </c>
      <c r="B1732" t="s">
        <v>7578</v>
      </c>
    </row>
    <row r="1733" spans="1:2" x14ac:dyDescent="0.2">
      <c r="A1733" t="s">
        <v>7579</v>
      </c>
      <c r="B1733" t="s">
        <v>7580</v>
      </c>
    </row>
    <row r="1734" spans="1:2" x14ac:dyDescent="0.2">
      <c r="A1734" t="s">
        <v>7581</v>
      </c>
      <c r="B1734" t="s">
        <v>7582</v>
      </c>
    </row>
    <row r="1735" spans="1:2" x14ac:dyDescent="0.2">
      <c r="A1735" t="s">
        <v>4693</v>
      </c>
      <c r="B1735" t="s">
        <v>7583</v>
      </c>
    </row>
    <row r="1736" spans="1:2" x14ac:dyDescent="0.2">
      <c r="A1736" t="s">
        <v>4695</v>
      </c>
      <c r="B1736" t="s">
        <v>7583</v>
      </c>
    </row>
    <row r="1737" spans="1:2" x14ac:dyDescent="0.2">
      <c r="A1737" t="s">
        <v>4697</v>
      </c>
      <c r="B1737" t="s">
        <v>7584</v>
      </c>
    </row>
    <row r="1738" spans="1:2" x14ac:dyDescent="0.2">
      <c r="A1738" t="s">
        <v>7585</v>
      </c>
      <c r="B1738" t="s">
        <v>7584</v>
      </c>
    </row>
    <row r="1739" spans="1:2" x14ac:dyDescent="0.2">
      <c r="A1739" t="s">
        <v>4700</v>
      </c>
      <c r="B1739" t="s">
        <v>7586</v>
      </c>
    </row>
    <row r="1740" spans="1:2" x14ac:dyDescent="0.2">
      <c r="A1740" t="s">
        <v>7587</v>
      </c>
      <c r="B1740" t="s">
        <v>7586</v>
      </c>
    </row>
    <row r="1741" spans="1:2" x14ac:dyDescent="0.2">
      <c r="A1741" t="s">
        <v>4703</v>
      </c>
      <c r="B1741" t="s">
        <v>7588</v>
      </c>
    </row>
    <row r="1742" spans="1:2" x14ac:dyDescent="0.2">
      <c r="A1742" t="s">
        <v>7589</v>
      </c>
      <c r="B1742" t="s">
        <v>7588</v>
      </c>
    </row>
    <row r="1743" spans="1:2" x14ac:dyDescent="0.2">
      <c r="A1743" t="s">
        <v>4706</v>
      </c>
      <c r="B1743" t="s">
        <v>7590</v>
      </c>
    </row>
    <row r="1744" spans="1:2" x14ac:dyDescent="0.2">
      <c r="A1744" t="s">
        <v>7591</v>
      </c>
      <c r="B1744" t="s">
        <v>7590</v>
      </c>
    </row>
    <row r="1745" spans="1:2" x14ac:dyDescent="0.2">
      <c r="A1745" t="s">
        <v>4708</v>
      </c>
      <c r="B1745" t="s">
        <v>7592</v>
      </c>
    </row>
    <row r="1746" spans="1:2" x14ac:dyDescent="0.2">
      <c r="A1746" t="s">
        <v>4710</v>
      </c>
      <c r="B1746" t="s">
        <v>7592</v>
      </c>
    </row>
    <row r="1747" spans="1:2" x14ac:dyDescent="0.2">
      <c r="A1747" t="s">
        <v>4712</v>
      </c>
      <c r="B1747" t="s">
        <v>7592</v>
      </c>
    </row>
    <row r="1748" spans="1:2" x14ac:dyDescent="0.2">
      <c r="A1748" t="s">
        <v>7593</v>
      </c>
      <c r="B1748" t="s">
        <v>7594</v>
      </c>
    </row>
    <row r="1749" spans="1:2" x14ac:dyDescent="0.2">
      <c r="A1749" t="s">
        <v>7595</v>
      </c>
      <c r="B1749" t="s">
        <v>7596</v>
      </c>
    </row>
    <row r="1750" spans="1:2" x14ac:dyDescent="0.2">
      <c r="A1750" t="s">
        <v>7597</v>
      </c>
      <c r="B1750" t="s">
        <v>7598</v>
      </c>
    </row>
    <row r="1751" spans="1:2" x14ac:dyDescent="0.2">
      <c r="A1751" t="s">
        <v>4713</v>
      </c>
      <c r="B1751" t="s">
        <v>7599</v>
      </c>
    </row>
    <row r="1752" spans="1:2" x14ac:dyDescent="0.2">
      <c r="A1752" t="s">
        <v>4715</v>
      </c>
      <c r="B1752" t="s">
        <v>7600</v>
      </c>
    </row>
    <row r="1753" spans="1:2" x14ac:dyDescent="0.2">
      <c r="A1753" t="s">
        <v>4718</v>
      </c>
      <c r="B1753" t="s">
        <v>7601</v>
      </c>
    </row>
    <row r="1754" spans="1:2" x14ac:dyDescent="0.2">
      <c r="A1754" t="s">
        <v>7602</v>
      </c>
      <c r="B1754" t="s">
        <v>7601</v>
      </c>
    </row>
    <row r="1755" spans="1:2" x14ac:dyDescent="0.2">
      <c r="A1755" t="s">
        <v>4721</v>
      </c>
      <c r="B1755" t="s">
        <v>7603</v>
      </c>
    </row>
    <row r="1756" spans="1:2" x14ac:dyDescent="0.2">
      <c r="A1756" t="s">
        <v>7604</v>
      </c>
      <c r="B1756" t="s">
        <v>7603</v>
      </c>
    </row>
    <row r="1757" spans="1:2" x14ac:dyDescent="0.2">
      <c r="A1757" t="s">
        <v>4724</v>
      </c>
      <c r="B1757" t="s">
        <v>7605</v>
      </c>
    </row>
    <row r="1758" spans="1:2" x14ac:dyDescent="0.2">
      <c r="A1758" t="s">
        <v>7606</v>
      </c>
      <c r="B1758" t="s">
        <v>7605</v>
      </c>
    </row>
    <row r="1759" spans="1:2" x14ac:dyDescent="0.2">
      <c r="A1759" t="s">
        <v>4727</v>
      </c>
      <c r="B1759" t="s">
        <v>7607</v>
      </c>
    </row>
    <row r="1760" spans="1:2" x14ac:dyDescent="0.2">
      <c r="A1760" t="s">
        <v>7608</v>
      </c>
      <c r="B1760" t="s">
        <v>7607</v>
      </c>
    </row>
    <row r="1761" spans="1:2" x14ac:dyDescent="0.2">
      <c r="A1761" t="s">
        <v>4729</v>
      </c>
      <c r="B1761" t="s">
        <v>7609</v>
      </c>
    </row>
    <row r="1762" spans="1:2" x14ac:dyDescent="0.2">
      <c r="A1762" t="s">
        <v>4732</v>
      </c>
      <c r="B1762" t="s">
        <v>7610</v>
      </c>
    </row>
    <row r="1763" spans="1:2" x14ac:dyDescent="0.2">
      <c r="A1763" t="s">
        <v>7611</v>
      </c>
      <c r="B1763" t="s">
        <v>7610</v>
      </c>
    </row>
    <row r="1764" spans="1:2" x14ac:dyDescent="0.2">
      <c r="A1764" t="s">
        <v>4735</v>
      </c>
      <c r="B1764" t="s">
        <v>7612</v>
      </c>
    </row>
    <row r="1765" spans="1:2" x14ac:dyDescent="0.2">
      <c r="A1765" t="s">
        <v>7613</v>
      </c>
      <c r="B1765" t="s">
        <v>7612</v>
      </c>
    </row>
    <row r="1766" spans="1:2" x14ac:dyDescent="0.2">
      <c r="A1766" t="s">
        <v>4737</v>
      </c>
      <c r="B1766" t="s">
        <v>7614</v>
      </c>
    </row>
    <row r="1767" spans="1:2" x14ac:dyDescent="0.2">
      <c r="A1767" t="s">
        <v>4739</v>
      </c>
      <c r="B1767" t="s">
        <v>7615</v>
      </c>
    </row>
    <row r="1768" spans="1:2" x14ac:dyDescent="0.2">
      <c r="A1768" t="s">
        <v>4741</v>
      </c>
      <c r="B1768" t="s">
        <v>7616</v>
      </c>
    </row>
    <row r="1769" spans="1:2" x14ac:dyDescent="0.2">
      <c r="A1769" t="s">
        <v>4744</v>
      </c>
      <c r="B1769" t="s">
        <v>7617</v>
      </c>
    </row>
    <row r="1770" spans="1:2" x14ac:dyDescent="0.2">
      <c r="A1770" t="s">
        <v>7618</v>
      </c>
      <c r="B1770" t="s">
        <v>7617</v>
      </c>
    </row>
    <row r="1771" spans="1:2" x14ac:dyDescent="0.2">
      <c r="A1771" t="s">
        <v>4747</v>
      </c>
      <c r="B1771" t="s">
        <v>7619</v>
      </c>
    </row>
    <row r="1772" spans="1:2" x14ac:dyDescent="0.2">
      <c r="A1772" t="s">
        <v>7620</v>
      </c>
      <c r="B1772" t="s">
        <v>7619</v>
      </c>
    </row>
    <row r="1773" spans="1:2" x14ac:dyDescent="0.2">
      <c r="A1773" t="s">
        <v>4749</v>
      </c>
      <c r="B1773" t="s">
        <v>7621</v>
      </c>
    </row>
    <row r="1774" spans="1:2" x14ac:dyDescent="0.2">
      <c r="A1774" t="s">
        <v>4752</v>
      </c>
      <c r="B1774" t="s">
        <v>7621</v>
      </c>
    </row>
    <row r="1775" spans="1:2" x14ac:dyDescent="0.2">
      <c r="A1775" t="s">
        <v>7622</v>
      </c>
      <c r="B1775" t="s">
        <v>7621</v>
      </c>
    </row>
    <row r="1776" spans="1:2" x14ac:dyDescent="0.2">
      <c r="A1776" t="s">
        <v>4753</v>
      </c>
      <c r="B1776" t="s">
        <v>7623</v>
      </c>
    </row>
    <row r="1777" spans="1:2" x14ac:dyDescent="0.2">
      <c r="A1777" t="s">
        <v>4756</v>
      </c>
      <c r="B1777" t="s">
        <v>7624</v>
      </c>
    </row>
    <row r="1778" spans="1:2" x14ac:dyDescent="0.2">
      <c r="A1778" t="s">
        <v>7625</v>
      </c>
      <c r="B1778" t="s">
        <v>7624</v>
      </c>
    </row>
    <row r="1779" spans="1:2" x14ac:dyDescent="0.2">
      <c r="A1779" t="s">
        <v>4759</v>
      </c>
      <c r="B1779" t="s">
        <v>7626</v>
      </c>
    </row>
    <row r="1780" spans="1:2" x14ac:dyDescent="0.2">
      <c r="A1780" t="s">
        <v>7627</v>
      </c>
      <c r="B1780" t="s">
        <v>7626</v>
      </c>
    </row>
    <row r="1781" spans="1:2" x14ac:dyDescent="0.2">
      <c r="A1781" t="s">
        <v>4762</v>
      </c>
      <c r="B1781" t="s">
        <v>7628</v>
      </c>
    </row>
    <row r="1782" spans="1:2" x14ac:dyDescent="0.2">
      <c r="A1782" t="s">
        <v>7629</v>
      </c>
      <c r="B1782" t="s">
        <v>7630</v>
      </c>
    </row>
    <row r="1783" spans="1:2" x14ac:dyDescent="0.2">
      <c r="A1783" t="s">
        <v>7631</v>
      </c>
      <c r="B1783" t="s">
        <v>7632</v>
      </c>
    </row>
    <row r="1784" spans="1:2" x14ac:dyDescent="0.2">
      <c r="A1784" t="s">
        <v>7633</v>
      </c>
      <c r="B1784" t="s">
        <v>7634</v>
      </c>
    </row>
    <row r="1785" spans="1:2" x14ac:dyDescent="0.2">
      <c r="A1785" t="s">
        <v>7635</v>
      </c>
      <c r="B1785" t="s">
        <v>7636</v>
      </c>
    </row>
    <row r="1786" spans="1:2" x14ac:dyDescent="0.2">
      <c r="A1786" t="s">
        <v>7637</v>
      </c>
      <c r="B1786" t="s">
        <v>7638</v>
      </c>
    </row>
    <row r="1787" spans="1:2" x14ac:dyDescent="0.2">
      <c r="A1787" t="s">
        <v>4764</v>
      </c>
      <c r="B1787" t="s">
        <v>7639</v>
      </c>
    </row>
    <row r="1788" spans="1:2" x14ac:dyDescent="0.2">
      <c r="A1788" t="s">
        <v>4766</v>
      </c>
      <c r="B1788" t="s">
        <v>7640</v>
      </c>
    </row>
    <row r="1789" spans="1:2" x14ac:dyDescent="0.2">
      <c r="A1789" t="s">
        <v>4769</v>
      </c>
      <c r="B1789" t="s">
        <v>7641</v>
      </c>
    </row>
    <row r="1790" spans="1:2" x14ac:dyDescent="0.2">
      <c r="A1790" t="s">
        <v>7642</v>
      </c>
      <c r="B1790" t="s">
        <v>7641</v>
      </c>
    </row>
    <row r="1791" spans="1:2" x14ac:dyDescent="0.2">
      <c r="A1791" t="s">
        <v>4772</v>
      </c>
      <c r="B1791" t="s">
        <v>7643</v>
      </c>
    </row>
    <row r="1792" spans="1:2" x14ac:dyDescent="0.2">
      <c r="A1792" t="s">
        <v>7644</v>
      </c>
      <c r="B1792" t="s">
        <v>7643</v>
      </c>
    </row>
    <row r="1793" spans="1:2" x14ac:dyDescent="0.2">
      <c r="A1793" t="s">
        <v>4774</v>
      </c>
      <c r="B1793" t="s">
        <v>7645</v>
      </c>
    </row>
    <row r="1794" spans="1:2" x14ac:dyDescent="0.2">
      <c r="A1794" t="s">
        <v>4777</v>
      </c>
      <c r="B1794" t="s">
        <v>7646</v>
      </c>
    </row>
    <row r="1795" spans="1:2" x14ac:dyDescent="0.2">
      <c r="A1795" t="s">
        <v>7647</v>
      </c>
      <c r="B1795" t="s">
        <v>7646</v>
      </c>
    </row>
    <row r="1796" spans="1:2" x14ac:dyDescent="0.2">
      <c r="A1796" t="s">
        <v>4780</v>
      </c>
      <c r="B1796" t="s">
        <v>7648</v>
      </c>
    </row>
    <row r="1797" spans="1:2" x14ac:dyDescent="0.2">
      <c r="A1797" t="s">
        <v>7649</v>
      </c>
      <c r="B1797" t="s">
        <v>7648</v>
      </c>
    </row>
    <row r="1798" spans="1:2" x14ac:dyDescent="0.2">
      <c r="A1798" t="s">
        <v>4783</v>
      </c>
      <c r="B1798" t="s">
        <v>7650</v>
      </c>
    </row>
    <row r="1799" spans="1:2" x14ac:dyDescent="0.2">
      <c r="A1799" t="s">
        <v>7651</v>
      </c>
      <c r="B1799" t="s">
        <v>7650</v>
      </c>
    </row>
    <row r="1800" spans="1:2" x14ac:dyDescent="0.2">
      <c r="A1800" t="s">
        <v>4786</v>
      </c>
      <c r="B1800" t="s">
        <v>7652</v>
      </c>
    </row>
    <row r="1801" spans="1:2" x14ac:dyDescent="0.2">
      <c r="A1801" t="s">
        <v>7653</v>
      </c>
      <c r="B1801" t="s">
        <v>7652</v>
      </c>
    </row>
    <row r="1802" spans="1:2" x14ac:dyDescent="0.2">
      <c r="A1802" t="s">
        <v>4789</v>
      </c>
      <c r="B1802" t="s">
        <v>7654</v>
      </c>
    </row>
    <row r="1803" spans="1:2" x14ac:dyDescent="0.2">
      <c r="A1803" t="s">
        <v>7655</v>
      </c>
      <c r="B1803" t="s">
        <v>7654</v>
      </c>
    </row>
    <row r="1804" spans="1:2" x14ac:dyDescent="0.2">
      <c r="A1804" t="s">
        <v>4792</v>
      </c>
      <c r="B1804" t="s">
        <v>7656</v>
      </c>
    </row>
    <row r="1805" spans="1:2" x14ac:dyDescent="0.2">
      <c r="A1805" t="s">
        <v>7657</v>
      </c>
      <c r="B1805" t="s">
        <v>7656</v>
      </c>
    </row>
    <row r="1806" spans="1:2" x14ac:dyDescent="0.2">
      <c r="A1806" t="s">
        <v>4794</v>
      </c>
      <c r="B1806" t="s">
        <v>7658</v>
      </c>
    </row>
    <row r="1807" spans="1:2" x14ac:dyDescent="0.2">
      <c r="A1807" t="s">
        <v>4796</v>
      </c>
      <c r="B1807" t="s">
        <v>7658</v>
      </c>
    </row>
    <row r="1808" spans="1:2" x14ac:dyDescent="0.2">
      <c r="A1808" t="s">
        <v>4798</v>
      </c>
      <c r="B1808" t="s">
        <v>7659</v>
      </c>
    </row>
    <row r="1809" spans="1:2" x14ac:dyDescent="0.2">
      <c r="A1809" t="s">
        <v>7660</v>
      </c>
      <c r="B1809" t="s">
        <v>7659</v>
      </c>
    </row>
    <row r="1810" spans="1:2" x14ac:dyDescent="0.2">
      <c r="A1810" t="s">
        <v>4801</v>
      </c>
      <c r="B1810" t="s">
        <v>7661</v>
      </c>
    </row>
    <row r="1811" spans="1:2" x14ac:dyDescent="0.2">
      <c r="A1811" t="s">
        <v>7662</v>
      </c>
      <c r="B1811" t="s">
        <v>7663</v>
      </c>
    </row>
    <row r="1812" spans="1:2" x14ac:dyDescent="0.2">
      <c r="A1812" t="s">
        <v>7664</v>
      </c>
      <c r="B1812" t="s">
        <v>7665</v>
      </c>
    </row>
    <row r="1813" spans="1:2" x14ac:dyDescent="0.2">
      <c r="A1813" t="s">
        <v>4804</v>
      </c>
      <c r="B1813" t="s">
        <v>7666</v>
      </c>
    </row>
    <row r="1814" spans="1:2" x14ac:dyDescent="0.2">
      <c r="A1814" t="s">
        <v>7667</v>
      </c>
      <c r="B1814" t="s">
        <v>7668</v>
      </c>
    </row>
    <row r="1815" spans="1:2" x14ac:dyDescent="0.2">
      <c r="A1815" t="s">
        <v>7669</v>
      </c>
      <c r="B1815" t="s">
        <v>7670</v>
      </c>
    </row>
    <row r="1816" spans="1:2" x14ac:dyDescent="0.2">
      <c r="A1816" t="s">
        <v>4807</v>
      </c>
      <c r="B1816" t="s">
        <v>7671</v>
      </c>
    </row>
    <row r="1817" spans="1:2" x14ac:dyDescent="0.2">
      <c r="A1817" t="s">
        <v>7672</v>
      </c>
      <c r="B1817" t="s">
        <v>7671</v>
      </c>
    </row>
    <row r="1818" spans="1:2" x14ac:dyDescent="0.2">
      <c r="A1818" t="s">
        <v>4810</v>
      </c>
      <c r="B1818" t="s">
        <v>7673</v>
      </c>
    </row>
    <row r="1819" spans="1:2" x14ac:dyDescent="0.2">
      <c r="A1819" t="s">
        <v>7674</v>
      </c>
      <c r="B1819" t="s">
        <v>7673</v>
      </c>
    </row>
    <row r="1820" spans="1:2" x14ac:dyDescent="0.2">
      <c r="A1820" t="s">
        <v>4812</v>
      </c>
      <c r="B1820" t="s">
        <v>7675</v>
      </c>
    </row>
    <row r="1821" spans="1:2" x14ac:dyDescent="0.2">
      <c r="A1821" t="s">
        <v>4814</v>
      </c>
      <c r="B1821" t="s">
        <v>7676</v>
      </c>
    </row>
    <row r="1822" spans="1:2" x14ac:dyDescent="0.2">
      <c r="A1822" t="s">
        <v>4816</v>
      </c>
      <c r="B1822" t="s">
        <v>7676</v>
      </c>
    </row>
    <row r="1823" spans="1:2" x14ac:dyDescent="0.2">
      <c r="A1823" t="s">
        <v>4818</v>
      </c>
      <c r="B1823" t="s">
        <v>7676</v>
      </c>
    </row>
    <row r="1824" spans="1:2" x14ac:dyDescent="0.2">
      <c r="A1824" t="s">
        <v>7677</v>
      </c>
      <c r="B1824" t="s">
        <v>7676</v>
      </c>
    </row>
    <row r="1825" spans="1:2" x14ac:dyDescent="0.2">
      <c r="A1825" t="s">
        <v>4819</v>
      </c>
      <c r="B1825" t="s">
        <v>7678</v>
      </c>
    </row>
    <row r="1826" spans="1:2" x14ac:dyDescent="0.2">
      <c r="A1826" t="s">
        <v>4821</v>
      </c>
      <c r="B1826" t="s">
        <v>7679</v>
      </c>
    </row>
    <row r="1827" spans="1:2" x14ac:dyDescent="0.2">
      <c r="A1827" t="s">
        <v>4824</v>
      </c>
      <c r="B1827" t="s">
        <v>7679</v>
      </c>
    </row>
    <row r="1828" spans="1:2" x14ac:dyDescent="0.2">
      <c r="A1828" t="s">
        <v>7680</v>
      </c>
      <c r="B1828" t="s">
        <v>7679</v>
      </c>
    </row>
    <row r="1829" spans="1:2" x14ac:dyDescent="0.2">
      <c r="A1829" t="s">
        <v>4825</v>
      </c>
      <c r="B1829" t="s">
        <v>7681</v>
      </c>
    </row>
    <row r="1830" spans="1:2" x14ac:dyDescent="0.2">
      <c r="A1830" t="s">
        <v>4828</v>
      </c>
      <c r="B1830" t="s">
        <v>7681</v>
      </c>
    </row>
    <row r="1831" spans="1:2" x14ac:dyDescent="0.2">
      <c r="A1831" t="s">
        <v>7682</v>
      </c>
      <c r="B1831" t="s">
        <v>7681</v>
      </c>
    </row>
    <row r="1832" spans="1:2" x14ac:dyDescent="0.2">
      <c r="A1832" t="s">
        <v>4829</v>
      </c>
      <c r="B1832" t="s">
        <v>7683</v>
      </c>
    </row>
    <row r="1833" spans="1:2" x14ac:dyDescent="0.2">
      <c r="A1833" t="s">
        <v>4831</v>
      </c>
      <c r="B1833" t="s">
        <v>7683</v>
      </c>
    </row>
    <row r="1834" spans="1:2" x14ac:dyDescent="0.2">
      <c r="A1834" t="s">
        <v>4832</v>
      </c>
      <c r="B1834" t="s">
        <v>7683</v>
      </c>
    </row>
    <row r="1835" spans="1:2" x14ac:dyDescent="0.2">
      <c r="A1835" t="s">
        <v>4834</v>
      </c>
      <c r="B1835" t="s">
        <v>7683</v>
      </c>
    </row>
    <row r="1836" spans="1:2" x14ac:dyDescent="0.2">
      <c r="A1836" t="s">
        <v>7684</v>
      </c>
      <c r="B1836" t="s">
        <v>7683</v>
      </c>
    </row>
  </sheetData>
  <pageMargins left="0.7" right="0.7" top="0.78740157499999996" bottom="0.78740157499999996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Feld-Mapping</vt:lpstr>
      <vt:lpstr>Staatsangehörigkeit</vt:lpstr>
      <vt:lpstr>Anrede</vt:lpstr>
      <vt:lpstr>BaFin-GattungId</vt:lpstr>
      <vt:lpstr>Börseninformationen</vt:lpstr>
      <vt:lpstr>Funktionsträger</vt:lpstr>
      <vt:lpstr>HandoverFlag</vt:lpstr>
      <vt:lpstr>Insolvenzstatus</vt:lpstr>
      <vt:lpstr>IstAmOrganisiertenMarkt</vt:lpstr>
      <vt:lpstr>IstStiftung</vt:lpstr>
      <vt:lpstr>IstTreuhand</vt:lpstr>
      <vt:lpstr>LEI Status</vt:lpstr>
      <vt:lpstr>Liquidationsstatus</vt:lpstr>
      <vt:lpstr>NACE2</vt:lpstr>
      <vt:lpstr>NrfdPflichtig</vt:lpstr>
      <vt:lpstr>Rechercheabbruchgründe</vt:lpstr>
      <vt:lpstr>Rechtsformen</vt:lpstr>
      <vt:lpstr>Registerarten</vt:lpstr>
      <vt:lpstr>Registergerichte</vt:lpstr>
      <vt:lpstr>RegulatorenName</vt:lpstr>
      <vt:lpstr>Status</vt:lpstr>
      <vt:lpstr>Vertretungsberechtigt</vt:lpstr>
      <vt:lpstr>Währungen</vt:lpstr>
      <vt:lpstr>WZ08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Pedron</dc:creator>
  <cp:lastModifiedBy>Ronald Koenig</cp:lastModifiedBy>
  <dcterms:created xsi:type="dcterms:W3CDTF">2020-01-10T12:55:21Z</dcterms:created>
  <dcterms:modified xsi:type="dcterms:W3CDTF">2026-10-22T15:24:55Z</dcterms:modified>
</cp:coreProperties>
</file>